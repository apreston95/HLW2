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ierre-olivierweill/Dropbox/Papers/HLW/MS221674-Final version/MS22164- Code/"/>
    </mc:Choice>
  </mc:AlternateContent>
  <xr:revisionPtr revIDLastSave="0" documentId="13_ncr:1_{4D4C0F2A-4D13-8840-BE77-6BF7E42D57E6}" xr6:coauthVersionLast="43" xr6:coauthVersionMax="43" xr10:uidLastSave="{00000000-0000-0000-0000-000000000000}"/>
  <bookViews>
    <workbookView xWindow="0" yWindow="460" windowWidth="28800" windowHeight="16380" tabRatio="500" activeTab="3" xr2:uid="{00000000-000D-0000-FFFF-FFFF00000000}"/>
  </bookViews>
  <sheets>
    <sheet name="Flow of Funds, 1998-2012" sheetId="4" r:id="rId1"/>
    <sheet name="GHS Table 1" sheetId="14" r:id="rId2"/>
    <sheet name="MSRB volume and trade size" sheetId="9" r:id="rId3"/>
    <sheet name="US Households" sheetId="1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7" i="4" l="1"/>
  <c r="F55" i="4" s="1"/>
  <c r="F74" i="4" s="1"/>
  <c r="F47" i="4"/>
  <c r="G55" i="4" s="1"/>
  <c r="G47" i="4"/>
  <c r="H55" i="4" s="1"/>
  <c r="H74" i="4" s="1"/>
  <c r="H47" i="4"/>
  <c r="I55" i="4" s="1"/>
  <c r="E56" i="14"/>
  <c r="J54" i="14" s="1"/>
  <c r="J57" i="14" s="1"/>
  <c r="J55" i="14"/>
  <c r="F56" i="14"/>
  <c r="J62" i="14" s="1"/>
  <c r="F53" i="14"/>
  <c r="F57" i="14"/>
  <c r="J61" i="14" s="1"/>
  <c r="D56" i="14"/>
  <c r="J53" i="14"/>
  <c r="J56" i="14" s="1"/>
  <c r="D58" i="14"/>
  <c r="E58" i="14"/>
  <c r="F58" i="14"/>
  <c r="C58" i="14"/>
  <c r="D40" i="14"/>
  <c r="E40" i="14"/>
  <c r="F40" i="14"/>
  <c r="C40" i="14"/>
  <c r="D49" i="14"/>
  <c r="E49" i="14"/>
  <c r="F49" i="14"/>
  <c r="C49" i="14"/>
  <c r="D57" i="14"/>
  <c r="E57" i="14"/>
  <c r="C57" i="14"/>
  <c r="C56" i="14"/>
  <c r="D48" i="14"/>
  <c r="E48" i="14"/>
  <c r="F48" i="14"/>
  <c r="C48" i="14"/>
  <c r="D39" i="14"/>
  <c r="E39" i="14"/>
  <c r="F39" i="14"/>
  <c r="C39" i="14"/>
  <c r="D47" i="14"/>
  <c r="E47" i="14"/>
  <c r="F47" i="14"/>
  <c r="C47" i="14"/>
  <c r="E38" i="14"/>
  <c r="F38" i="14"/>
  <c r="D38" i="14"/>
  <c r="C38" i="14"/>
  <c r="T22" i="4"/>
  <c r="A7" i="15"/>
  <c r="T73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C47" i="4"/>
  <c r="D55" i="4" s="1"/>
  <c r="D47" i="4"/>
  <c r="E55" i="4" s="1"/>
  <c r="E78" i="4" s="1"/>
  <c r="F78" i="4"/>
  <c r="F80" i="4" s="1"/>
  <c r="I47" i="4"/>
  <c r="J47" i="4"/>
  <c r="L55" i="4"/>
  <c r="M55" i="4"/>
  <c r="M78" i="4"/>
  <c r="N55" i="4"/>
  <c r="N78" i="4" s="1"/>
  <c r="N80" i="4" s="1"/>
  <c r="O55" i="4"/>
  <c r="O78" i="4" s="1"/>
  <c r="O81" i="4" s="1"/>
  <c r="P55" i="4"/>
  <c r="Q55" i="4"/>
  <c r="Q78" i="4"/>
  <c r="R55" i="4"/>
  <c r="R78" i="4" s="1"/>
  <c r="R80" i="4"/>
  <c r="S55" i="4"/>
  <c r="S78" i="4"/>
  <c r="S81" i="4" s="1"/>
  <c r="D55" i="14"/>
  <c r="E55" i="14"/>
  <c r="F55" i="14"/>
  <c r="C55" i="14"/>
  <c r="D46" i="14"/>
  <c r="E46" i="14"/>
  <c r="F46" i="14"/>
  <c r="C46" i="14"/>
  <c r="D37" i="14"/>
  <c r="E37" i="14"/>
  <c r="F37" i="14"/>
  <c r="C37" i="14"/>
  <c r="D54" i="14"/>
  <c r="E54" i="14"/>
  <c r="F54" i="14"/>
  <c r="C54" i="14"/>
  <c r="D45" i="14"/>
  <c r="E45" i="14"/>
  <c r="F45" i="14"/>
  <c r="C45" i="14"/>
  <c r="D36" i="14"/>
  <c r="E36" i="14"/>
  <c r="F36" i="14"/>
  <c r="C36" i="14"/>
  <c r="D53" i="14"/>
  <c r="E53" i="14"/>
  <c r="D44" i="14"/>
  <c r="E44" i="14"/>
  <c r="F44" i="14"/>
  <c r="D35" i="14"/>
  <c r="E35" i="14"/>
  <c r="F35" i="14"/>
  <c r="C53" i="14"/>
  <c r="C44" i="14"/>
  <c r="C35" i="14"/>
  <c r="B5" i="9"/>
  <c r="B14" i="9" s="1"/>
  <c r="B9" i="9"/>
  <c r="C5" i="9"/>
  <c r="C9" i="9"/>
  <c r="D14" i="9"/>
  <c r="E14" i="9"/>
  <c r="F14" i="9"/>
  <c r="G14" i="9"/>
  <c r="H14" i="9"/>
  <c r="I14" i="9"/>
  <c r="J14" i="9"/>
  <c r="K14" i="9"/>
  <c r="L14" i="9"/>
  <c r="M14" i="9"/>
  <c r="N14" i="9"/>
  <c r="B28" i="9"/>
  <c r="B27" i="9"/>
  <c r="C28" i="9"/>
  <c r="C27" i="9"/>
  <c r="C31" i="9" s="1"/>
  <c r="D28" i="9"/>
  <c r="D31" i="9" s="1"/>
  <c r="D27" i="9"/>
  <c r="E28" i="9"/>
  <c r="E27" i="9"/>
  <c r="F28" i="9"/>
  <c r="F27" i="9"/>
  <c r="G28" i="9"/>
  <c r="G27" i="9"/>
  <c r="G31" i="9" s="1"/>
  <c r="H28" i="9"/>
  <c r="H31" i="9" s="1"/>
  <c r="H27" i="9"/>
  <c r="B166" i="9"/>
  <c r="C166" i="9"/>
  <c r="C175" i="9" s="1"/>
  <c r="D166" i="9"/>
  <c r="E166" i="9"/>
  <c r="F166" i="9"/>
  <c r="G166" i="9"/>
  <c r="H166" i="9"/>
  <c r="B165" i="9"/>
  <c r="C165" i="9"/>
  <c r="D165" i="9"/>
  <c r="D174" i="9" s="1"/>
  <c r="E165" i="9"/>
  <c r="F165" i="9"/>
  <c r="G165" i="9"/>
  <c r="H165" i="9"/>
  <c r="H174" i="9" s="1"/>
  <c r="B167" i="9"/>
  <c r="C167" i="9"/>
  <c r="D167" i="9"/>
  <c r="E167" i="9"/>
  <c r="E176" i="9" s="1"/>
  <c r="F167" i="9"/>
  <c r="G167" i="9"/>
  <c r="H167" i="9"/>
  <c r="B168" i="9"/>
  <c r="C168" i="9"/>
  <c r="D168" i="9"/>
  <c r="E168" i="9"/>
  <c r="F168" i="9"/>
  <c r="F177" i="9" s="1"/>
  <c r="G168" i="9"/>
  <c r="H168" i="9"/>
  <c r="B169" i="9"/>
  <c r="C169" i="9"/>
  <c r="D169" i="9"/>
  <c r="E169" i="9"/>
  <c r="F169" i="9"/>
  <c r="G169" i="9"/>
  <c r="G178" i="9" s="1"/>
  <c r="H169" i="9"/>
  <c r="B170" i="9"/>
  <c r="C170" i="9"/>
  <c r="D170" i="9"/>
  <c r="D179" i="9" s="1"/>
  <c r="E170" i="9"/>
  <c r="F170" i="9"/>
  <c r="G170" i="9"/>
  <c r="H170" i="9"/>
  <c r="H179" i="9" s="1"/>
  <c r="B171" i="9"/>
  <c r="C171" i="9"/>
  <c r="D171" i="9"/>
  <c r="E171" i="9"/>
  <c r="E180" i="9" s="1"/>
  <c r="F171" i="9"/>
  <c r="G171" i="9"/>
  <c r="H171" i="9"/>
  <c r="B172" i="9"/>
  <c r="C172" i="9"/>
  <c r="D172" i="9"/>
  <c r="E172" i="9"/>
  <c r="E181" i="9" s="1"/>
  <c r="F172" i="9"/>
  <c r="G172" i="9"/>
  <c r="H172" i="9"/>
  <c r="B103" i="9"/>
  <c r="B76" i="9"/>
  <c r="B94" i="9" s="1"/>
  <c r="C157" i="9"/>
  <c r="D157" i="9"/>
  <c r="D175" i="9"/>
  <c r="E157" i="9"/>
  <c r="F157" i="9"/>
  <c r="F175" i="9"/>
  <c r="G157" i="9"/>
  <c r="G175" i="9" s="1"/>
  <c r="H157" i="9"/>
  <c r="H175" i="9"/>
  <c r="B104" i="9"/>
  <c r="B158" i="9" s="1"/>
  <c r="B176" i="9" s="1"/>
  <c r="B77" i="9"/>
  <c r="C158" i="9"/>
  <c r="D158" i="9"/>
  <c r="D176" i="9" s="1"/>
  <c r="E158" i="9"/>
  <c r="F158" i="9"/>
  <c r="F176" i="9" s="1"/>
  <c r="G158" i="9"/>
  <c r="H158" i="9"/>
  <c r="H176" i="9"/>
  <c r="B105" i="9"/>
  <c r="B78" i="9"/>
  <c r="B96" i="9" s="1"/>
  <c r="C159" i="9"/>
  <c r="C177" i="9" s="1"/>
  <c r="D159" i="9"/>
  <c r="D177" i="9"/>
  <c r="E159" i="9"/>
  <c r="E177" i="9" s="1"/>
  <c r="F159" i="9"/>
  <c r="G159" i="9"/>
  <c r="G177" i="9" s="1"/>
  <c r="H159" i="9"/>
  <c r="H177" i="9"/>
  <c r="B106" i="9"/>
  <c r="B160" i="9" s="1"/>
  <c r="B178" i="9" s="1"/>
  <c r="B79" i="9"/>
  <c r="C160" i="9"/>
  <c r="C178" i="9"/>
  <c r="D160" i="9"/>
  <c r="D178" i="9"/>
  <c r="E160" i="9"/>
  <c r="F160" i="9"/>
  <c r="F178" i="9" s="1"/>
  <c r="G160" i="9"/>
  <c r="H160" i="9"/>
  <c r="H178" i="9" s="1"/>
  <c r="B107" i="9"/>
  <c r="B80" i="9"/>
  <c r="B98" i="9" s="1"/>
  <c r="C161" i="9"/>
  <c r="C179" i="9" s="1"/>
  <c r="D161" i="9"/>
  <c r="E161" i="9"/>
  <c r="E179" i="9" s="1"/>
  <c r="F161" i="9"/>
  <c r="G161" i="9"/>
  <c r="G179" i="9"/>
  <c r="H161" i="9"/>
  <c r="B108" i="9"/>
  <c r="B81" i="9"/>
  <c r="C162" i="9"/>
  <c r="D162" i="9"/>
  <c r="D180" i="9"/>
  <c r="E162" i="9"/>
  <c r="F162" i="9"/>
  <c r="F180" i="9"/>
  <c r="G162" i="9"/>
  <c r="H162" i="9"/>
  <c r="H180" i="9"/>
  <c r="B109" i="9"/>
  <c r="B163" i="9" s="1"/>
  <c r="B181" i="9" s="1"/>
  <c r="B82" i="9"/>
  <c r="B100" i="9" s="1"/>
  <c r="C163" i="9"/>
  <c r="C181" i="9"/>
  <c r="D163" i="9"/>
  <c r="E163" i="9"/>
  <c r="F163" i="9"/>
  <c r="F181" i="9"/>
  <c r="G163" i="9"/>
  <c r="G181" i="9"/>
  <c r="H163" i="9"/>
  <c r="B102" i="9"/>
  <c r="B156" i="9" s="1"/>
  <c r="B174" i="9" s="1"/>
  <c r="B75" i="9"/>
  <c r="C156" i="9"/>
  <c r="C174" i="9"/>
  <c r="D156" i="9"/>
  <c r="E156" i="9"/>
  <c r="E174" i="9"/>
  <c r="F156" i="9"/>
  <c r="F174" i="9"/>
  <c r="G156" i="9"/>
  <c r="G174" i="9"/>
  <c r="H156" i="9"/>
  <c r="I157" i="9"/>
  <c r="I166" i="9"/>
  <c r="J157" i="9"/>
  <c r="J166" i="9"/>
  <c r="K157" i="9"/>
  <c r="K166" i="9"/>
  <c r="K175" i="9" s="1"/>
  <c r="L157" i="9"/>
  <c r="L166" i="9"/>
  <c r="M157" i="9"/>
  <c r="M166" i="9"/>
  <c r="N157" i="9"/>
  <c r="N166" i="9"/>
  <c r="I158" i="9"/>
  <c r="I167" i="9"/>
  <c r="I176" i="9" s="1"/>
  <c r="J158" i="9"/>
  <c r="J167" i="9"/>
  <c r="J176" i="9"/>
  <c r="K158" i="9"/>
  <c r="K176" i="9" s="1"/>
  <c r="K167" i="9"/>
  <c r="L158" i="9"/>
  <c r="L167" i="9"/>
  <c r="L176" i="9"/>
  <c r="M158" i="9"/>
  <c r="M167" i="9"/>
  <c r="M176" i="9" s="1"/>
  <c r="N158" i="9"/>
  <c r="N167" i="9"/>
  <c r="I159" i="9"/>
  <c r="I168" i="9"/>
  <c r="J159" i="9"/>
  <c r="J168" i="9"/>
  <c r="K159" i="9"/>
  <c r="K168" i="9"/>
  <c r="K177" i="9" s="1"/>
  <c r="L159" i="9"/>
  <c r="L177" i="9" s="1"/>
  <c r="L168" i="9"/>
  <c r="M159" i="9"/>
  <c r="M168" i="9"/>
  <c r="N159" i="9"/>
  <c r="N177" i="9" s="1"/>
  <c r="N168" i="9"/>
  <c r="I160" i="9"/>
  <c r="I169" i="9"/>
  <c r="I178" i="9" s="1"/>
  <c r="J160" i="9"/>
  <c r="J169" i="9"/>
  <c r="K160" i="9"/>
  <c r="K169" i="9"/>
  <c r="L160" i="9"/>
  <c r="L169" i="9"/>
  <c r="M160" i="9"/>
  <c r="M169" i="9"/>
  <c r="M178" i="9" s="1"/>
  <c r="N160" i="9"/>
  <c r="N169" i="9"/>
  <c r="N178" i="9"/>
  <c r="I161" i="9"/>
  <c r="I179" i="9" s="1"/>
  <c r="I170" i="9"/>
  <c r="J161" i="9"/>
  <c r="J170" i="9"/>
  <c r="J179" i="9"/>
  <c r="K161" i="9"/>
  <c r="K170" i="9"/>
  <c r="K179" i="9" s="1"/>
  <c r="L161" i="9"/>
  <c r="L170" i="9"/>
  <c r="M161" i="9"/>
  <c r="M170" i="9"/>
  <c r="N161" i="9"/>
  <c r="N170" i="9"/>
  <c r="I162" i="9"/>
  <c r="I171" i="9"/>
  <c r="I180" i="9" s="1"/>
  <c r="J162" i="9"/>
  <c r="J180" i="9" s="1"/>
  <c r="J171" i="9"/>
  <c r="K162" i="9"/>
  <c r="K171" i="9"/>
  <c r="L162" i="9"/>
  <c r="L180" i="9" s="1"/>
  <c r="L171" i="9"/>
  <c r="M162" i="9"/>
  <c r="M171" i="9"/>
  <c r="M180" i="9" s="1"/>
  <c r="N162" i="9"/>
  <c r="N171" i="9"/>
  <c r="I163" i="9"/>
  <c r="I172" i="9"/>
  <c r="J163" i="9"/>
  <c r="J172" i="9"/>
  <c r="K163" i="9"/>
  <c r="K172" i="9"/>
  <c r="K181" i="9" s="1"/>
  <c r="L163" i="9"/>
  <c r="L172" i="9"/>
  <c r="L181" i="9"/>
  <c r="M163" i="9"/>
  <c r="M181" i="9" s="1"/>
  <c r="M172" i="9"/>
  <c r="N163" i="9"/>
  <c r="N172" i="9"/>
  <c r="N181" i="9"/>
  <c r="I156" i="9"/>
  <c r="I165" i="9"/>
  <c r="I174" i="9" s="1"/>
  <c r="J156" i="9"/>
  <c r="J165" i="9"/>
  <c r="K156" i="9"/>
  <c r="K165" i="9"/>
  <c r="L156" i="9"/>
  <c r="L165" i="9"/>
  <c r="M156" i="9"/>
  <c r="M165" i="9"/>
  <c r="M174" i="9" s="1"/>
  <c r="N156" i="9"/>
  <c r="N174" i="9" s="1"/>
  <c r="N165" i="9"/>
  <c r="C148" i="9"/>
  <c r="D148" i="9"/>
  <c r="E148" i="9"/>
  <c r="F148" i="9"/>
  <c r="G148" i="9"/>
  <c r="H148" i="9"/>
  <c r="I148" i="9"/>
  <c r="J148" i="9"/>
  <c r="K148" i="9"/>
  <c r="L148" i="9"/>
  <c r="M148" i="9"/>
  <c r="N148" i="9"/>
  <c r="C149" i="9"/>
  <c r="D149" i="9"/>
  <c r="E149" i="9"/>
  <c r="F149" i="9"/>
  <c r="G149" i="9"/>
  <c r="H149" i="9"/>
  <c r="I149" i="9"/>
  <c r="J149" i="9"/>
  <c r="K149" i="9"/>
  <c r="L149" i="9"/>
  <c r="M149" i="9"/>
  <c r="N149" i="9"/>
  <c r="C150" i="9"/>
  <c r="D150" i="9"/>
  <c r="E150" i="9"/>
  <c r="F150" i="9"/>
  <c r="G150" i="9"/>
  <c r="H150" i="9"/>
  <c r="I150" i="9"/>
  <c r="J150" i="9"/>
  <c r="K150" i="9"/>
  <c r="L150" i="9"/>
  <c r="M150" i="9"/>
  <c r="N150" i="9"/>
  <c r="C151" i="9"/>
  <c r="D151" i="9"/>
  <c r="E151" i="9"/>
  <c r="F151" i="9"/>
  <c r="G151" i="9"/>
  <c r="H151" i="9"/>
  <c r="I151" i="9"/>
  <c r="J151" i="9"/>
  <c r="K151" i="9"/>
  <c r="L151" i="9"/>
  <c r="M151" i="9"/>
  <c r="N151" i="9"/>
  <c r="C152" i="9"/>
  <c r="D152" i="9"/>
  <c r="E152" i="9"/>
  <c r="F152" i="9"/>
  <c r="G152" i="9"/>
  <c r="H152" i="9"/>
  <c r="I152" i="9"/>
  <c r="J152" i="9"/>
  <c r="K152" i="9"/>
  <c r="L152" i="9"/>
  <c r="M152" i="9"/>
  <c r="N152" i="9"/>
  <c r="C153" i="9"/>
  <c r="D153" i="9"/>
  <c r="E153" i="9"/>
  <c r="F153" i="9"/>
  <c r="G153" i="9"/>
  <c r="H153" i="9"/>
  <c r="I153" i="9"/>
  <c r="J153" i="9"/>
  <c r="K153" i="9"/>
  <c r="L153" i="9"/>
  <c r="M153" i="9"/>
  <c r="N153" i="9"/>
  <c r="C154" i="9"/>
  <c r="D154" i="9"/>
  <c r="E154" i="9"/>
  <c r="F154" i="9"/>
  <c r="G154" i="9"/>
  <c r="H154" i="9"/>
  <c r="I154" i="9"/>
  <c r="J154" i="9"/>
  <c r="K154" i="9"/>
  <c r="L154" i="9"/>
  <c r="M154" i="9"/>
  <c r="N154" i="9"/>
  <c r="D147" i="9"/>
  <c r="E147" i="9"/>
  <c r="F147" i="9"/>
  <c r="G147" i="9"/>
  <c r="H147" i="9"/>
  <c r="I147" i="9"/>
  <c r="J147" i="9"/>
  <c r="K147" i="9"/>
  <c r="L147" i="9"/>
  <c r="M147" i="9"/>
  <c r="N147" i="9"/>
  <c r="C147" i="9"/>
  <c r="C94" i="9"/>
  <c r="D94" i="9"/>
  <c r="E94" i="9"/>
  <c r="F94" i="9"/>
  <c r="G94" i="9"/>
  <c r="H94" i="9"/>
  <c r="I94" i="9"/>
  <c r="J94" i="9"/>
  <c r="K94" i="9"/>
  <c r="L94" i="9"/>
  <c r="M94" i="9"/>
  <c r="N94" i="9"/>
  <c r="C95" i="9"/>
  <c r="D95" i="9"/>
  <c r="E95" i="9"/>
  <c r="F95" i="9"/>
  <c r="G95" i="9"/>
  <c r="H95" i="9"/>
  <c r="I95" i="9"/>
  <c r="J95" i="9"/>
  <c r="K95" i="9"/>
  <c r="L95" i="9"/>
  <c r="M95" i="9"/>
  <c r="N95" i="9"/>
  <c r="C96" i="9"/>
  <c r="D96" i="9"/>
  <c r="E96" i="9"/>
  <c r="F96" i="9"/>
  <c r="G96" i="9"/>
  <c r="H96" i="9"/>
  <c r="I96" i="9"/>
  <c r="J96" i="9"/>
  <c r="K96" i="9"/>
  <c r="L96" i="9"/>
  <c r="M96" i="9"/>
  <c r="N96" i="9"/>
  <c r="C97" i="9"/>
  <c r="D97" i="9"/>
  <c r="E97" i="9"/>
  <c r="F97" i="9"/>
  <c r="G97" i="9"/>
  <c r="H97" i="9"/>
  <c r="I97" i="9"/>
  <c r="J97" i="9"/>
  <c r="K97" i="9"/>
  <c r="L97" i="9"/>
  <c r="M97" i="9"/>
  <c r="N97" i="9"/>
  <c r="C98" i="9"/>
  <c r="D98" i="9"/>
  <c r="E98" i="9"/>
  <c r="F98" i="9"/>
  <c r="G98" i="9"/>
  <c r="H98" i="9"/>
  <c r="I98" i="9"/>
  <c r="J98" i="9"/>
  <c r="K98" i="9"/>
  <c r="L98" i="9"/>
  <c r="M98" i="9"/>
  <c r="N98" i="9"/>
  <c r="C99" i="9"/>
  <c r="D99" i="9"/>
  <c r="E99" i="9"/>
  <c r="F99" i="9"/>
  <c r="G99" i="9"/>
  <c r="H99" i="9"/>
  <c r="I99" i="9"/>
  <c r="J99" i="9"/>
  <c r="K99" i="9"/>
  <c r="L99" i="9"/>
  <c r="M99" i="9"/>
  <c r="N99" i="9"/>
  <c r="C100" i="9"/>
  <c r="D100" i="9"/>
  <c r="E100" i="9"/>
  <c r="F100" i="9"/>
  <c r="G100" i="9"/>
  <c r="H100" i="9"/>
  <c r="I100" i="9"/>
  <c r="J100" i="9"/>
  <c r="K100" i="9"/>
  <c r="L100" i="9"/>
  <c r="M100" i="9"/>
  <c r="N100" i="9"/>
  <c r="D93" i="9"/>
  <c r="E93" i="9"/>
  <c r="F93" i="9"/>
  <c r="G93" i="9"/>
  <c r="H93" i="9"/>
  <c r="I93" i="9"/>
  <c r="J93" i="9"/>
  <c r="K93" i="9"/>
  <c r="L93" i="9"/>
  <c r="M93" i="9"/>
  <c r="N93" i="9"/>
  <c r="C93" i="9"/>
  <c r="C121" i="9"/>
  <c r="D121" i="9"/>
  <c r="E121" i="9"/>
  <c r="F121" i="9"/>
  <c r="G121" i="9"/>
  <c r="H121" i="9"/>
  <c r="I121" i="9"/>
  <c r="J121" i="9"/>
  <c r="K121" i="9"/>
  <c r="L121" i="9"/>
  <c r="M121" i="9"/>
  <c r="N121" i="9"/>
  <c r="C122" i="9"/>
  <c r="D122" i="9"/>
  <c r="E122" i="9"/>
  <c r="F122" i="9"/>
  <c r="G122" i="9"/>
  <c r="H122" i="9"/>
  <c r="I122" i="9"/>
  <c r="J122" i="9"/>
  <c r="K122" i="9"/>
  <c r="L122" i="9"/>
  <c r="M122" i="9"/>
  <c r="N122" i="9"/>
  <c r="C123" i="9"/>
  <c r="D123" i="9"/>
  <c r="E123" i="9"/>
  <c r="F123" i="9"/>
  <c r="G123" i="9"/>
  <c r="H123" i="9"/>
  <c r="I123" i="9"/>
  <c r="J123" i="9"/>
  <c r="K123" i="9"/>
  <c r="L123" i="9"/>
  <c r="M123" i="9"/>
  <c r="N123" i="9"/>
  <c r="C124" i="9"/>
  <c r="D124" i="9"/>
  <c r="E124" i="9"/>
  <c r="F124" i="9"/>
  <c r="G124" i="9"/>
  <c r="H124" i="9"/>
  <c r="I124" i="9"/>
  <c r="J124" i="9"/>
  <c r="K124" i="9"/>
  <c r="L124" i="9"/>
  <c r="M124" i="9"/>
  <c r="N124" i="9"/>
  <c r="C125" i="9"/>
  <c r="D125" i="9"/>
  <c r="E125" i="9"/>
  <c r="F125" i="9"/>
  <c r="G125" i="9"/>
  <c r="H125" i="9"/>
  <c r="I125" i="9"/>
  <c r="J125" i="9"/>
  <c r="K125" i="9"/>
  <c r="L125" i="9"/>
  <c r="M125" i="9"/>
  <c r="N125" i="9"/>
  <c r="C126" i="9"/>
  <c r="D126" i="9"/>
  <c r="E126" i="9"/>
  <c r="F126" i="9"/>
  <c r="G126" i="9"/>
  <c r="H126" i="9"/>
  <c r="I126" i="9"/>
  <c r="J126" i="9"/>
  <c r="K126" i="9"/>
  <c r="L126" i="9"/>
  <c r="M126" i="9"/>
  <c r="N126" i="9"/>
  <c r="C127" i="9"/>
  <c r="D127" i="9"/>
  <c r="E127" i="9"/>
  <c r="F127" i="9"/>
  <c r="G127" i="9"/>
  <c r="H127" i="9"/>
  <c r="I127" i="9"/>
  <c r="J127" i="9"/>
  <c r="K127" i="9"/>
  <c r="L127" i="9"/>
  <c r="M127" i="9"/>
  <c r="N127" i="9"/>
  <c r="D120" i="9"/>
  <c r="E120" i="9"/>
  <c r="F120" i="9"/>
  <c r="G120" i="9"/>
  <c r="H120" i="9"/>
  <c r="I120" i="9"/>
  <c r="J120" i="9"/>
  <c r="K120" i="9"/>
  <c r="L120" i="9"/>
  <c r="M120" i="9"/>
  <c r="N120" i="9"/>
  <c r="C120" i="9"/>
  <c r="B153" i="9"/>
  <c r="B154" i="9"/>
  <c r="B152" i="9"/>
  <c r="B151" i="9"/>
  <c r="B150" i="9"/>
  <c r="B149" i="9"/>
  <c r="B148" i="9"/>
  <c r="B147" i="9"/>
  <c r="B127" i="9"/>
  <c r="B126" i="9"/>
  <c r="B124" i="9"/>
  <c r="B123" i="9"/>
  <c r="B122" i="9"/>
  <c r="B95" i="9"/>
  <c r="B97" i="9"/>
  <c r="B99" i="9"/>
  <c r="B93" i="9"/>
  <c r="C7" i="9"/>
  <c r="C8" i="9"/>
  <c r="D10" i="9"/>
  <c r="E10" i="9"/>
  <c r="F10" i="9"/>
  <c r="G10" i="9"/>
  <c r="H10" i="9"/>
  <c r="I10" i="9"/>
  <c r="J10" i="9"/>
  <c r="K10" i="9"/>
  <c r="L10" i="9"/>
  <c r="M10" i="9"/>
  <c r="N10" i="9"/>
  <c r="B7" i="9"/>
  <c r="B8" i="9"/>
  <c r="N73" i="9"/>
  <c r="M73" i="9"/>
  <c r="L73" i="9"/>
  <c r="K73" i="9"/>
  <c r="J73" i="9"/>
  <c r="N68" i="9"/>
  <c r="M68" i="9"/>
  <c r="L68" i="9"/>
  <c r="K68" i="9"/>
  <c r="J68" i="9"/>
  <c r="N63" i="9"/>
  <c r="M63" i="9"/>
  <c r="L63" i="9"/>
  <c r="K63" i="9"/>
  <c r="J63" i="9"/>
  <c r="K58" i="9"/>
  <c r="L58" i="9"/>
  <c r="M58" i="9"/>
  <c r="N58" i="9"/>
  <c r="J58" i="9"/>
  <c r="K53" i="9"/>
  <c r="L53" i="9"/>
  <c r="M53" i="9"/>
  <c r="N53" i="9"/>
  <c r="J53" i="9"/>
  <c r="K48" i="9"/>
  <c r="L48" i="9"/>
  <c r="M48" i="9"/>
  <c r="N48" i="9"/>
  <c r="J48" i="9"/>
  <c r="C26" i="9"/>
  <c r="C30" i="9" s="1"/>
  <c r="D26" i="9"/>
  <c r="E26" i="9"/>
  <c r="E30" i="9" s="1"/>
  <c r="F26" i="9"/>
  <c r="G26" i="9"/>
  <c r="G30" i="9" s="1"/>
  <c r="H26" i="9"/>
  <c r="I28" i="9"/>
  <c r="I26" i="9"/>
  <c r="I30" i="9"/>
  <c r="J28" i="9"/>
  <c r="J26" i="9"/>
  <c r="K28" i="9"/>
  <c r="K30" i="9" s="1"/>
  <c r="K26" i="9"/>
  <c r="L28" i="9"/>
  <c r="L26" i="9"/>
  <c r="M28" i="9"/>
  <c r="M26" i="9"/>
  <c r="N28" i="9"/>
  <c r="N26" i="9"/>
  <c r="N30" i="9" s="1"/>
  <c r="I27" i="9"/>
  <c r="J27" i="9"/>
  <c r="J31" i="9" s="1"/>
  <c r="K27" i="9"/>
  <c r="L27" i="9"/>
  <c r="L31" i="9" s="1"/>
  <c r="M27" i="9"/>
  <c r="N27" i="9"/>
  <c r="N31" i="9" s="1"/>
  <c r="B26" i="9"/>
  <c r="C20" i="9"/>
  <c r="D20" i="9"/>
  <c r="E20" i="9"/>
  <c r="F20" i="9"/>
  <c r="G20" i="9"/>
  <c r="H20" i="9"/>
  <c r="I20" i="9"/>
  <c r="J20" i="9"/>
  <c r="K20" i="9"/>
  <c r="L20" i="9"/>
  <c r="M20" i="9"/>
  <c r="N20" i="9"/>
  <c r="B20" i="9"/>
  <c r="F42" i="9"/>
  <c r="G42" i="9"/>
  <c r="H42" i="9"/>
  <c r="I42" i="9"/>
  <c r="J42" i="9"/>
  <c r="K42" i="9"/>
  <c r="L42" i="9"/>
  <c r="M42" i="9"/>
  <c r="N42" i="9"/>
  <c r="F35" i="9"/>
  <c r="F39" i="9"/>
  <c r="F43" i="9"/>
  <c r="G35" i="9"/>
  <c r="G43" i="9" s="1"/>
  <c r="G39" i="9"/>
  <c r="H35" i="9"/>
  <c r="H39" i="9"/>
  <c r="H43" i="9"/>
  <c r="I35" i="9"/>
  <c r="I39" i="9"/>
  <c r="J35" i="9"/>
  <c r="J39" i="9"/>
  <c r="K35" i="9"/>
  <c r="K39" i="9"/>
  <c r="L35" i="9"/>
  <c r="L39" i="9"/>
  <c r="M35" i="9"/>
  <c r="M39" i="9"/>
  <c r="N35" i="9"/>
  <c r="N43" i="9" s="1"/>
  <c r="N39" i="9"/>
  <c r="G41" i="9"/>
  <c r="H41" i="9"/>
  <c r="I41" i="9"/>
  <c r="J41" i="9"/>
  <c r="K41" i="9"/>
  <c r="L41" i="9"/>
  <c r="M41" i="9"/>
  <c r="N41" i="9"/>
  <c r="F41" i="9"/>
  <c r="C4" i="9"/>
  <c r="C3" i="9"/>
  <c r="C15" i="9" s="1"/>
  <c r="B4" i="9"/>
  <c r="B3" i="9"/>
  <c r="C12" i="9"/>
  <c r="M29" i="9"/>
  <c r="N29" i="9"/>
  <c r="C29" i="9"/>
  <c r="D29" i="9"/>
  <c r="E29" i="9"/>
  <c r="F29" i="9"/>
  <c r="G29" i="9"/>
  <c r="H29" i="9"/>
  <c r="I29" i="9"/>
  <c r="J29" i="9"/>
  <c r="K29" i="9"/>
  <c r="L29" i="9"/>
  <c r="B29" i="9"/>
  <c r="E15" i="9"/>
  <c r="F15" i="9"/>
  <c r="G15" i="9"/>
  <c r="H15" i="9"/>
  <c r="I15" i="9"/>
  <c r="J15" i="9"/>
  <c r="K15" i="9"/>
  <c r="L15" i="9"/>
  <c r="M15" i="9"/>
  <c r="N15" i="9"/>
  <c r="D15" i="9"/>
  <c r="D13" i="9"/>
  <c r="E13" i="9"/>
  <c r="F13" i="9"/>
  <c r="G13" i="9"/>
  <c r="H13" i="9"/>
  <c r="I13" i="9"/>
  <c r="J13" i="9"/>
  <c r="K13" i="9"/>
  <c r="L13" i="9"/>
  <c r="M13" i="9"/>
  <c r="N13" i="9"/>
  <c r="E12" i="9"/>
  <c r="F12" i="9"/>
  <c r="G12" i="9"/>
  <c r="H12" i="9"/>
  <c r="I12" i="9"/>
  <c r="J12" i="9"/>
  <c r="K12" i="9"/>
  <c r="L12" i="9"/>
  <c r="M12" i="9"/>
  <c r="N12" i="9"/>
  <c r="D12" i="9"/>
  <c r="S74" i="4"/>
  <c r="Q74" i="4"/>
  <c r="M74" i="4"/>
  <c r="K23" i="4"/>
  <c r="L23" i="4"/>
  <c r="K48" i="4" s="1"/>
  <c r="M23" i="4"/>
  <c r="N23" i="4"/>
  <c r="M48" i="4" s="1"/>
  <c r="O23" i="4"/>
  <c r="N48" i="4" s="1"/>
  <c r="P23" i="4"/>
  <c r="O48" i="4" s="1"/>
  <c r="Q23" i="4"/>
  <c r="P48" i="4" s="1"/>
  <c r="R23" i="4"/>
  <c r="Q48" i="4" s="1"/>
  <c r="F41" i="4"/>
  <c r="S23" i="4"/>
  <c r="H41" i="4" s="1"/>
  <c r="E23" i="4"/>
  <c r="F23" i="4"/>
  <c r="G23" i="4"/>
  <c r="H23" i="4"/>
  <c r="I23" i="4"/>
  <c r="J23" i="4"/>
  <c r="D23" i="4"/>
  <c r="F48" i="4"/>
  <c r="L43" i="9" l="1"/>
  <c r="J43" i="9"/>
  <c r="M43" i="9"/>
  <c r="I43" i="9"/>
  <c r="J30" i="9"/>
  <c r="B120" i="9"/>
  <c r="L174" i="9"/>
  <c r="J174" i="9"/>
  <c r="N179" i="9"/>
  <c r="L179" i="9"/>
  <c r="J177" i="9"/>
  <c r="N176" i="9"/>
  <c r="I175" i="9"/>
  <c r="B162" i="9"/>
  <c r="B180" i="9" s="1"/>
  <c r="B157" i="9"/>
  <c r="B175" i="9" s="1"/>
  <c r="B10" i="9"/>
  <c r="K180" i="9"/>
  <c r="M177" i="9"/>
  <c r="B161" i="9"/>
  <c r="B179" i="9" s="1"/>
  <c r="H181" i="9"/>
  <c r="D181" i="9"/>
  <c r="G180" i="9"/>
  <c r="C180" i="9"/>
  <c r="F179" i="9"/>
  <c r="E178" i="9"/>
  <c r="G176" i="9"/>
  <c r="C176" i="9"/>
  <c r="E175" i="9"/>
  <c r="E31" i="9"/>
  <c r="C14" i="9"/>
  <c r="J181" i="9"/>
  <c r="N180" i="9"/>
  <c r="L178" i="9"/>
  <c r="J178" i="9"/>
  <c r="N175" i="9"/>
  <c r="L175" i="9"/>
  <c r="J175" i="9"/>
  <c r="B159" i="9"/>
  <c r="B177" i="9" s="1"/>
  <c r="A41" i="4"/>
  <c r="S80" i="4"/>
  <c r="O80" i="4"/>
  <c r="E41" i="4"/>
  <c r="H48" i="4"/>
  <c r="O74" i="4"/>
  <c r="H30" i="9"/>
  <c r="F31" i="9"/>
  <c r="F30" i="9"/>
  <c r="P78" i="4"/>
  <c r="P74" i="4"/>
  <c r="K55" i="4"/>
  <c r="J48" i="4"/>
  <c r="Q80" i="4"/>
  <c r="Q81" i="4"/>
  <c r="M80" i="4"/>
  <c r="M81" i="4"/>
  <c r="E81" i="4"/>
  <c r="T79" i="4"/>
  <c r="E80" i="4"/>
  <c r="I78" i="4"/>
  <c r="I81" i="4" s="1"/>
  <c r="I74" i="4"/>
  <c r="D48" i="4"/>
  <c r="G48" i="4"/>
  <c r="E48" i="4"/>
  <c r="E74" i="4"/>
  <c r="M31" i="9"/>
  <c r="D30" i="9"/>
  <c r="B31" i="9"/>
  <c r="B30" i="9"/>
  <c r="J55" i="4"/>
  <c r="I48" i="4"/>
  <c r="D74" i="4"/>
  <c r="D78" i="4"/>
  <c r="C48" i="4"/>
  <c r="D41" i="4"/>
  <c r="B41" i="4"/>
  <c r="L48" i="4"/>
  <c r="B13" i="9"/>
  <c r="K43" i="9"/>
  <c r="K31" i="9"/>
  <c r="C10" i="9"/>
  <c r="K174" i="9"/>
  <c r="I181" i="9"/>
  <c r="M179" i="9"/>
  <c r="K178" i="9"/>
  <c r="I177" i="9"/>
  <c r="M175" i="9"/>
  <c r="H78" i="4"/>
  <c r="G78" i="4"/>
  <c r="G81" i="4" s="1"/>
  <c r="G74" i="4"/>
  <c r="G41" i="4"/>
  <c r="C41" i="4"/>
  <c r="B15" i="9"/>
  <c r="B12" i="9"/>
  <c r="C13" i="9"/>
  <c r="M30" i="9"/>
  <c r="L30" i="9"/>
  <c r="I31" i="9"/>
  <c r="O14" i="9"/>
  <c r="L78" i="4"/>
  <c r="L74" i="4"/>
  <c r="R81" i="4"/>
  <c r="N81" i="4"/>
  <c r="F81" i="4"/>
  <c r="N74" i="4"/>
  <c r="R74" i="4"/>
  <c r="B121" i="9"/>
  <c r="B125" i="9"/>
  <c r="G80" i="4" l="1"/>
  <c r="J58" i="14"/>
  <c r="J60" i="14" s="1"/>
  <c r="L81" i="4"/>
  <c r="L80" i="4"/>
  <c r="K78" i="4"/>
  <c r="K74" i="4"/>
  <c r="J78" i="4"/>
  <c r="J74" i="4"/>
  <c r="I80" i="4"/>
  <c r="H80" i="4"/>
  <c r="H81" i="4"/>
  <c r="D81" i="4"/>
  <c r="D80" i="4"/>
  <c r="P81" i="4"/>
  <c r="P80" i="4"/>
  <c r="B42" i="4"/>
  <c r="J59" i="14" l="1"/>
  <c r="J80" i="4"/>
  <c r="J81" i="4"/>
  <c r="T81" i="4" s="1"/>
  <c r="T80" i="4"/>
  <c r="T78" i="4"/>
  <c r="K81" i="4"/>
  <c r="K80" i="4"/>
</calcChain>
</file>

<file path=xl/sharedStrings.xml><?xml version="1.0" encoding="utf-8"?>
<sst xmlns="http://schemas.openxmlformats.org/spreadsheetml/2006/main" count="389" uniqueCount="186">
  <si>
    <t>Household Sector</t>
  </si>
  <si>
    <t>Non financial corporate</t>
  </si>
  <si>
    <t>Nonfarm non corporate</t>
  </si>
  <si>
    <t>State and local government</t>
  </si>
  <si>
    <t>Commercial banking</t>
  </si>
  <si>
    <t>Saving institutions</t>
  </si>
  <si>
    <t>Bank personal trusts</t>
  </si>
  <si>
    <t>Life insurance companies</t>
  </si>
  <si>
    <t>Other insurance</t>
  </si>
  <si>
    <t>State and loc gov retirement funds</t>
  </si>
  <si>
    <t>Money market funds</t>
  </si>
  <si>
    <t>Mutual funds</t>
  </si>
  <si>
    <t>Closed end funds</t>
  </si>
  <si>
    <t>GSE</t>
  </si>
  <si>
    <t xml:space="preserve">Brokers and dealers </t>
  </si>
  <si>
    <t>Municipal Securities</t>
  </si>
  <si>
    <t>Flow of Funds Data, Table L.211, Billion of dollars</t>
  </si>
  <si>
    <t>Flow of Funds Release</t>
  </si>
  <si>
    <t>2004-Q1</t>
  </si>
  <si>
    <t xml:space="preserve">TOTAL </t>
  </si>
  <si>
    <t>2005-Q1</t>
  </si>
  <si>
    <t>2007-Q1</t>
  </si>
  <si>
    <t>Rest of the world</t>
  </si>
  <si>
    <t>2008-Q1</t>
  </si>
  <si>
    <t>2009-Q1</t>
  </si>
  <si>
    <t>2010-Q1</t>
  </si>
  <si>
    <t>Exchange traded funds</t>
  </si>
  <si>
    <t>2011-Q1</t>
  </si>
  <si>
    <t>Notes</t>
  </si>
  <si>
    <t>Total</t>
  </si>
  <si>
    <t>2012-Q1</t>
  </si>
  <si>
    <t>U.S.-chartered depository institutions</t>
  </si>
  <si>
    <t>Banks in US affiliated areas</t>
  </si>
  <si>
    <t>Bank and personal trusts disapeared in release 2007-Q1 and seem to have become part of the household sector starting</t>
  </si>
  <si>
    <t>Exchange traded funds appear release in 2008-Q1</t>
  </si>
  <si>
    <t>In release 2011-Q3, the measure of the outstanding supply of Muni has changed, leading to a huge revision upward of household holdings.</t>
  </si>
  <si>
    <t>In release 2012-Q1, "commercial banking" and "saving institutions" seem to have become US-chartered depository institutions</t>
  </si>
  <si>
    <t>Rest of the world appeared as a category in release 2007-Q1</t>
  </si>
  <si>
    <t>"Other Insurance" became "Property Casualty Insurance" in release 2006-Q1</t>
  </si>
  <si>
    <t>2013-Q1</t>
  </si>
  <si>
    <t>2014-Q1</t>
  </si>
  <si>
    <t>2015-Q1</t>
  </si>
  <si>
    <t>2016-Q1</t>
  </si>
  <si>
    <t xml:space="preserve">Fraction of supply held by households, 2005-2012, after the 2011-Q3 revision </t>
  </si>
  <si>
    <t xml:space="preserve">Average </t>
  </si>
  <si>
    <t xml:space="preserve">Delta </t>
  </si>
  <si>
    <t>Scale up 1998-2004 by the corresponding 2005 factor</t>
  </si>
  <si>
    <t>Frac of supply held by HH</t>
  </si>
  <si>
    <t>Directly or indirectly held by HH</t>
  </si>
  <si>
    <t xml:space="preserve">Broker dealer </t>
  </si>
  <si>
    <t>We follow the SEC report to define directly or indirectly held shares as: household+mutual funds+money market funds+closed en funds+exchange trade funds</t>
  </si>
  <si>
    <t>Frac in Broker dealers</t>
  </si>
  <si>
    <t>DC</t>
  </si>
  <si>
    <t>CD</t>
  </si>
  <si>
    <t>DD</t>
  </si>
  <si>
    <t>YEAR</t>
  </si>
  <si>
    <t xml:space="preserve">Total Par Amount </t>
  </si>
  <si>
    <t>Total # of Trades</t>
  </si>
  <si>
    <t xml:space="preserve">OVERALL </t>
  </si>
  <si>
    <t>Daily Par Amount</t>
  </si>
  <si>
    <t>Daily # of Trades</t>
  </si>
  <si>
    <t>Par Amount by month after sale's date</t>
  </si>
  <si>
    <t>000-001</t>
  </si>
  <si>
    <t>001-003</t>
  </si>
  <si>
    <t>003-</t>
  </si>
  <si>
    <t># Trades by Months after sale date</t>
  </si>
  <si>
    <t>Average Trade Size implied by Total Par Amount and Total # of Trades</t>
  </si>
  <si>
    <t>Average Trade Size implied by Daily Par Amount and Daily # of Trades</t>
  </si>
  <si>
    <t>Average Trade Size by Months after sale date, implied by Par Amount and # Trades</t>
  </si>
  <si>
    <t>DD/DC</t>
  </si>
  <si>
    <t>DD/CD</t>
  </si>
  <si>
    <t>Distribution of Trade, Par Amount, 000-001 after issuance</t>
  </si>
  <si>
    <t>Distribution of Trade, Par Amount, 001-003 after issuance</t>
  </si>
  <si>
    <t>Distribution of Trade, Par Amount, 003- after issuance</t>
  </si>
  <si>
    <t>Distribution of Trade, # Trades, 000-001 after issuance</t>
  </si>
  <si>
    <t>Distribution of Trade, # Trades, 001-003 after issuance</t>
  </si>
  <si>
    <t>Distribution of Trade, # Trades, 003- after issuance</t>
  </si>
  <si>
    <t>$0-$25,000</t>
  </si>
  <si>
    <t>$25,001-$50,000</t>
  </si>
  <si>
    <t>$50,001-$75,000</t>
  </si>
  <si>
    <t>$75,001-$100,000</t>
  </si>
  <si>
    <t>$100,001-$500,000</t>
  </si>
  <si>
    <t>$500,001-$1,000,000</t>
  </si>
  <si>
    <t>$1,000,0001-$2,000,000</t>
  </si>
  <si>
    <t>$2,000,000-</t>
  </si>
  <si>
    <t>Distribution of Trade size, Avg Daily Par Amount, DC</t>
  </si>
  <si>
    <t>Distribution of Trade size, Avg Daily # Trades, DC</t>
  </si>
  <si>
    <t>Distribution of Trade size, Avg Daily Par Amount, CD</t>
  </si>
  <si>
    <t>Distribution of Trade size, Avg Daily # Trades, CD</t>
  </si>
  <si>
    <t>Distribution of Trade size, Avg Daily Par Amount, DD</t>
  </si>
  <si>
    <t>Distribution of Trade size, Avg Daily # Trades, DD</t>
  </si>
  <si>
    <t>Distribution of Trade size, Avg Daily Par Amount, Total</t>
  </si>
  <si>
    <t>Distribution of Trade size, Avg Daily # Trades, Total</t>
  </si>
  <si>
    <t>Implied avg trade size within cell, DC</t>
  </si>
  <si>
    <t>Implied avg trade size within cell, DD</t>
  </si>
  <si>
    <t>Implied avg trade size within cell, CD</t>
  </si>
  <si>
    <t>Implied avg trade size within cell, Total</t>
  </si>
  <si>
    <t>Time period: May 1st 2000 to January 10th 2004</t>
  </si>
  <si>
    <t>TABLE 1</t>
  </si>
  <si>
    <t>All Transactions</t>
  </si>
  <si>
    <t>D to C</t>
  </si>
  <si>
    <t>C to D</t>
  </si>
  <si>
    <t>D to D</t>
  </si>
  <si>
    <t>All Issues</t>
  </si>
  <si>
    <t>Observations (10^6)</t>
  </si>
  <si>
    <t>Issues (10^6)</t>
  </si>
  <si>
    <t>Issuers (10^3)</t>
  </si>
  <si>
    <t>Total Value (10^12)</t>
  </si>
  <si>
    <t>Average par (10^6)</t>
  </si>
  <si>
    <t>Coupon (percent)</t>
  </si>
  <si>
    <t>Age (years)</t>
  </si>
  <si>
    <t xml:space="preserve">Maturity (years) </t>
  </si>
  <si>
    <t>New Issues</t>
  </si>
  <si>
    <t>Seasoned Issues</t>
  </si>
  <si>
    <t xml:space="preserve">8 month+3years=44 months </t>
  </si>
  <si>
    <t>SAME TABLE IN $</t>
  </si>
  <si>
    <t>Observations</t>
  </si>
  <si>
    <t>AVERAGE</t>
  </si>
  <si>
    <t>1960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</si>
  <si>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</si>
  <si>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</si>
  <si>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</si>
  <si>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</si>
  <si>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</si>
  <si>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</si>
  <si>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</si>
  <si>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</si>
  <si>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</si>
  <si>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</si>
  <si>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</si>
  <si>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</si>
  <si>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</si>
  <si>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</si>
  <si>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</si>
  <si>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</si>
  <si>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</si>
  <si>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</si>
  <si>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</si>
  <si>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</si>
  <si>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</si>
  <si>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</si>
  <si>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</si>
  <si>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</si>
  <si>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</si>
  <si>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</si>
  <si>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</si>
  <si>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</si>
  <si>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</si>
  <si>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</si>
  <si>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</si>
  <si>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</si>
  <si>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</si>
  <si>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</si>
  <si>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</si>
  <si>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</si>
  <si>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</si>
  <si>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</si>
  <si>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</si>
  <si>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</si>
  <si>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</si>
  <si>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</si>
  <si>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</si>
  <si>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</si>
  <si>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</si>
  <si>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</si>
  <si>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</si>
  <si>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Source: Census Bureau, as reported on https://www.statista.com/statistics/183635/number-of-households-in-the-us/</t>
  </si>
  <si>
    <t>Number of Households in the US</t>
  </si>
  <si>
    <t>Average for the LS time period</t>
  </si>
  <si>
    <t>Issues</t>
  </si>
  <si>
    <t>Issuers</t>
  </si>
  <si>
    <t>Total Value</t>
  </si>
  <si>
    <t xml:space="preserve">Average par </t>
  </si>
  <si>
    <t>Total value of CD transactions in seasoned securities</t>
  </si>
  <si>
    <t>Total value of DC transactions in seasoned securities</t>
  </si>
  <si>
    <t>Length of time period (years)</t>
  </si>
  <si>
    <t>Average value of the market 2000-2004</t>
  </si>
  <si>
    <t>[VALUE IS ADJUSTED BECAUSE OF CHANGE IN MEASUREMENT OF OUTSTANDING SUPPLY THAT OCCURRED IN 2011-Q3]</t>
  </si>
  <si>
    <t>DC turnover</t>
  </si>
  <si>
    <t>CD turnover</t>
  </si>
  <si>
    <t>Yearly average value of DC transactions in seasoned securities</t>
  </si>
  <si>
    <t>Yearly average value of CD transactions in seasoned securities</t>
  </si>
  <si>
    <t>Average value traded in DD transactions of seasoned securities</t>
  </si>
  <si>
    <t>Average par traded in DD transactions of seasoned securities</t>
  </si>
  <si>
    <t>Adjusted Table after scaling</t>
  </si>
  <si>
    <t>TABLE 1 from Green, Hollifield, and Schuerhoff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</si>
</sst>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$&quot;#,##0.00"/>
    <numFmt numFmtId="166" formatCode="0.000"/>
    <numFmt numFmtId="167" formatCode="#,##0.00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BBB59"/>
        <bgColor rgb="FF000000"/>
      </patternFill>
    </fill>
    <fill>
      <patternFill patternType="solid">
        <fgColor rgb="FFEBF1DE"/>
        <bgColor rgb="FF000000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7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0" fontId="0" fillId="6" borderId="0" xfId="0" applyNumberFormat="1" applyFill="1"/>
    <xf numFmtId="0" fontId="0" fillId="5" borderId="0" xfId="0" applyFill="1" applyAlignment="1">
      <alignment horizontal="right"/>
    </xf>
    <xf numFmtId="0" fontId="1" fillId="2" borderId="0" xfId="0" applyFont="1" applyFill="1"/>
    <xf numFmtId="3" fontId="0" fillId="6" borderId="0" xfId="0" applyNumberFormat="1" applyFill="1"/>
    <xf numFmtId="0" fontId="1" fillId="5" borderId="0" xfId="0" applyFont="1" applyFill="1"/>
    <xf numFmtId="0" fontId="1" fillId="6" borderId="0" xfId="0" applyFont="1" applyFill="1"/>
    <xf numFmtId="164" fontId="0" fillId="6" borderId="0" xfId="0" applyNumberFormat="1" applyFill="1"/>
    <xf numFmtId="165" fontId="0" fillId="6" borderId="0" xfId="0" applyNumberFormat="1" applyFill="1"/>
    <xf numFmtId="3" fontId="0" fillId="0" borderId="0" xfId="0" applyNumberFormat="1"/>
    <xf numFmtId="0" fontId="0" fillId="0" borderId="0" xfId="0" applyFill="1"/>
    <xf numFmtId="165" fontId="0" fillId="0" borderId="0" xfId="0" applyNumberFormat="1"/>
    <xf numFmtId="4" fontId="0" fillId="5" borderId="0" xfId="0" applyNumberFormat="1" applyFill="1"/>
    <xf numFmtId="0" fontId="0" fillId="5" borderId="0" xfId="0" applyNumberFormat="1" applyFill="1"/>
    <xf numFmtId="0" fontId="5" fillId="8" borderId="0" xfId="0" applyFont="1" applyFill="1"/>
    <xf numFmtId="0" fontId="6" fillId="8" borderId="0" xfId="0" applyFont="1" applyFill="1"/>
    <xf numFmtId="0" fontId="5" fillId="9" borderId="0" xfId="0" applyFont="1" applyFill="1"/>
    <xf numFmtId="165" fontId="6" fillId="9" borderId="0" xfId="0" applyNumberFormat="1" applyFont="1" applyFill="1"/>
    <xf numFmtId="0" fontId="0" fillId="3" borderId="0" xfId="0" applyFill="1" applyBorder="1"/>
    <xf numFmtId="0" fontId="0" fillId="3" borderId="1" xfId="0" applyFill="1" applyBorder="1"/>
    <xf numFmtId="0" fontId="0" fillId="4" borderId="0" xfId="0" applyFill="1" applyAlignment="1">
      <alignment horizontal="right"/>
    </xf>
    <xf numFmtId="0" fontId="0" fillId="0" borderId="0" xfId="0" applyFill="1" applyBorder="1"/>
    <xf numFmtId="0" fontId="0" fillId="7" borderId="0" xfId="0" applyFill="1"/>
    <xf numFmtId="0" fontId="6" fillId="7" borderId="0" xfId="0" applyFont="1" applyFill="1"/>
    <xf numFmtId="0" fontId="1" fillId="7" borderId="0" xfId="0" applyFont="1" applyFill="1"/>
    <xf numFmtId="0" fontId="0" fillId="7" borderId="0" xfId="0" applyFill="1" applyBorder="1"/>
    <xf numFmtId="3" fontId="0" fillId="4" borderId="0" xfId="0" applyNumberFormat="1" applyFill="1"/>
    <xf numFmtId="164" fontId="0" fillId="0" borderId="0" xfId="0" applyNumberFormat="1"/>
    <xf numFmtId="3" fontId="1" fillId="5" borderId="0" xfId="0" applyNumberFormat="1" applyFont="1" applyFill="1" applyBorder="1" applyAlignment="1" applyProtection="1">
      <alignment horizontal="left" vertical="center"/>
    </xf>
    <xf numFmtId="166" fontId="0" fillId="0" borderId="0" xfId="0" applyNumberFormat="1"/>
    <xf numFmtId="10" fontId="0" fillId="4" borderId="0" xfId="0" applyNumberFormat="1" applyFill="1"/>
    <xf numFmtId="0" fontId="0" fillId="0" borderId="0" xfId="0" applyAlignment="1">
      <alignment horizontal="right"/>
    </xf>
    <xf numFmtId="0" fontId="0" fillId="3" borderId="0" xfId="0" applyFill="1" applyBorder="1" applyAlignment="1">
      <alignment horizontal="right"/>
    </xf>
    <xf numFmtId="167" fontId="0" fillId="0" borderId="0" xfId="0" applyNumberFormat="1"/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7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Normal" xfId="0" builtinId="0"/>
    <cellStyle name="Normal 2" xfId="19" xr:uid="{00000000-0005-0000-0000-0000A9000000}"/>
  </cellStyles>
  <dxfs count="0"/>
  <tableStyles count="0" defaultTableStyle="TableStyleMedium9" defaultPivotStyle="PivotStyleMedium4"/>
  <colors>
    <mruColors>
      <color rgb="FF3A7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"/>
  <sheetViews>
    <sheetView topLeftCell="A56" workbookViewId="0">
      <selection activeCell="B48" sqref="B48"/>
    </sheetView>
  </sheetViews>
  <sheetFormatPr baseColWidth="10" defaultColWidth="11" defaultRowHeight="16" x14ac:dyDescent="0.2"/>
  <sheetData>
    <row r="1" spans="1:19" x14ac:dyDescent="0.2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">
      <c r="A2" s="3" t="s">
        <v>17</v>
      </c>
      <c r="B2" s="3"/>
      <c r="C2" s="3"/>
      <c r="D2" s="3" t="s">
        <v>18</v>
      </c>
      <c r="E2" s="3" t="s">
        <v>20</v>
      </c>
      <c r="F2" s="3" t="s">
        <v>21</v>
      </c>
      <c r="G2" s="3" t="s">
        <v>21</v>
      </c>
      <c r="H2" s="3" t="s">
        <v>23</v>
      </c>
      <c r="I2" s="3" t="s">
        <v>24</v>
      </c>
      <c r="J2" s="3" t="s">
        <v>25</v>
      </c>
      <c r="K2" s="3" t="s">
        <v>27</v>
      </c>
      <c r="L2" s="3" t="s">
        <v>30</v>
      </c>
      <c r="M2" s="3" t="s">
        <v>30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42</v>
      </c>
      <c r="S2" s="3" t="s">
        <v>42</v>
      </c>
    </row>
    <row r="3" spans="1:19" x14ac:dyDescent="0.2">
      <c r="A3" s="3" t="s">
        <v>15</v>
      </c>
      <c r="B3" s="3"/>
      <c r="C3" s="3"/>
      <c r="D3" s="3">
        <v>1998</v>
      </c>
      <c r="E3" s="3">
        <v>1999</v>
      </c>
      <c r="F3" s="3">
        <v>2000</v>
      </c>
      <c r="G3" s="3">
        <v>2001</v>
      </c>
      <c r="H3" s="3">
        <v>2002</v>
      </c>
      <c r="I3" s="3">
        <v>2003</v>
      </c>
      <c r="J3" s="3">
        <v>2004</v>
      </c>
      <c r="K3" s="3">
        <v>2005</v>
      </c>
      <c r="L3" s="3">
        <v>2005</v>
      </c>
      <c r="M3" s="3">
        <v>2006</v>
      </c>
      <c r="N3" s="3">
        <v>2007</v>
      </c>
      <c r="O3" s="3">
        <v>2008</v>
      </c>
      <c r="P3" s="3">
        <v>2009</v>
      </c>
      <c r="Q3" s="3">
        <v>2010</v>
      </c>
      <c r="R3" s="3">
        <v>2011</v>
      </c>
      <c r="S3" s="3">
        <v>2012</v>
      </c>
    </row>
    <row r="4" spans="1:19" ht="14" customHeight="1" x14ac:dyDescent="0.2">
      <c r="A4" s="4" t="s">
        <v>0</v>
      </c>
      <c r="B4" s="4"/>
      <c r="C4" s="4"/>
      <c r="D4" s="4">
        <v>426.6</v>
      </c>
      <c r="E4" s="4">
        <v>435.6</v>
      </c>
      <c r="F4" s="4">
        <v>531.20000000000005</v>
      </c>
      <c r="G4" s="4">
        <v>581.1</v>
      </c>
      <c r="H4" s="4">
        <v>678.7</v>
      </c>
      <c r="I4" s="4">
        <v>703.8</v>
      </c>
      <c r="J4" s="4">
        <v>742.4</v>
      </c>
      <c r="K4" s="4">
        <v>820.9</v>
      </c>
      <c r="L4" s="4">
        <v>1639.1</v>
      </c>
      <c r="M4" s="4">
        <v>1681.4</v>
      </c>
      <c r="N4" s="4">
        <v>1674.1</v>
      </c>
      <c r="O4" s="4">
        <v>1720.9</v>
      </c>
      <c r="P4" s="4">
        <v>1827.9</v>
      </c>
      <c r="Q4" s="4">
        <v>1905.7</v>
      </c>
      <c r="R4" s="4">
        <v>1826.6</v>
      </c>
      <c r="S4" s="4">
        <v>1679.2</v>
      </c>
    </row>
    <row r="5" spans="1:19" x14ac:dyDescent="0.2">
      <c r="A5" s="4" t="s">
        <v>1</v>
      </c>
      <c r="B5" s="4"/>
      <c r="C5" s="4"/>
      <c r="D5" s="4">
        <v>25.7</v>
      </c>
      <c r="E5" s="4">
        <v>25</v>
      </c>
      <c r="F5" s="4">
        <v>31.9</v>
      </c>
      <c r="G5" s="4">
        <v>29.3</v>
      </c>
      <c r="H5" s="4">
        <v>32.1</v>
      </c>
      <c r="I5" s="4">
        <v>35.4</v>
      </c>
      <c r="J5" s="4">
        <v>31.8</v>
      </c>
      <c r="K5" s="4">
        <v>32.1</v>
      </c>
      <c r="L5" s="4">
        <v>32.1</v>
      </c>
      <c r="M5" s="4">
        <v>28.1</v>
      </c>
      <c r="N5" s="4">
        <v>29.2</v>
      </c>
      <c r="O5" s="4">
        <v>26.2</v>
      </c>
      <c r="P5" s="4">
        <v>27.1</v>
      </c>
      <c r="Q5" s="4">
        <v>23.9</v>
      </c>
      <c r="R5" s="4">
        <v>22.3</v>
      </c>
      <c r="S5" s="4">
        <v>22.9</v>
      </c>
    </row>
    <row r="6" spans="1:19" x14ac:dyDescent="0.2">
      <c r="A6" s="4" t="s">
        <v>2</v>
      </c>
      <c r="B6" s="4"/>
      <c r="C6" s="4"/>
      <c r="D6" s="4">
        <v>2.8</v>
      </c>
      <c r="E6" s="4">
        <v>2.7</v>
      </c>
      <c r="F6" s="4">
        <v>2.4</v>
      </c>
      <c r="G6" s="4">
        <v>3.5</v>
      </c>
      <c r="H6" s="4">
        <v>3.4</v>
      </c>
      <c r="I6" s="4">
        <v>2.7</v>
      </c>
      <c r="J6" s="4">
        <v>4.3</v>
      </c>
      <c r="K6" s="4">
        <v>4.4000000000000004</v>
      </c>
      <c r="L6" s="4">
        <v>4.4000000000000004</v>
      </c>
      <c r="M6" s="4">
        <v>5.8</v>
      </c>
      <c r="N6" s="4">
        <v>5.3</v>
      </c>
      <c r="O6" s="4">
        <v>4.9000000000000004</v>
      </c>
      <c r="P6" s="4">
        <v>5.0999999999999996</v>
      </c>
      <c r="Q6" s="4">
        <v>5.6</v>
      </c>
      <c r="R6" s="4">
        <v>5.9</v>
      </c>
      <c r="S6" s="4">
        <v>6.1</v>
      </c>
    </row>
    <row r="7" spans="1:19" x14ac:dyDescent="0.2">
      <c r="A7" s="4" t="s">
        <v>3</v>
      </c>
      <c r="B7" s="4"/>
      <c r="C7" s="4"/>
      <c r="D7" s="4">
        <v>2.5</v>
      </c>
      <c r="E7" s="4">
        <v>3.5</v>
      </c>
      <c r="F7" s="4">
        <v>3.7</v>
      </c>
      <c r="G7" s="4">
        <v>4</v>
      </c>
      <c r="H7" s="4">
        <v>4.0999999999999996</v>
      </c>
      <c r="I7" s="4">
        <v>4.4000000000000004</v>
      </c>
      <c r="J7" s="4">
        <v>4.7</v>
      </c>
      <c r="K7" s="4">
        <v>5</v>
      </c>
      <c r="L7" s="4">
        <v>4.9000000000000004</v>
      </c>
      <c r="M7" s="4">
        <v>5.0999999999999996</v>
      </c>
      <c r="N7" s="4">
        <v>9.5</v>
      </c>
      <c r="O7" s="4">
        <v>10.4</v>
      </c>
      <c r="P7" s="4">
        <v>11.5</v>
      </c>
      <c r="Q7" s="4">
        <v>12.9</v>
      </c>
      <c r="R7" s="4">
        <v>13.1</v>
      </c>
      <c r="S7" s="4">
        <v>13.3</v>
      </c>
    </row>
    <row r="8" spans="1:19" x14ac:dyDescent="0.2">
      <c r="A8" s="4" t="s">
        <v>22</v>
      </c>
      <c r="B8" s="4"/>
      <c r="C8" s="4"/>
      <c r="D8" s="4">
        <v>0</v>
      </c>
      <c r="E8" s="4">
        <v>0</v>
      </c>
      <c r="F8" s="4">
        <v>8</v>
      </c>
      <c r="G8" s="4">
        <v>8</v>
      </c>
      <c r="H8" s="4">
        <v>11.5</v>
      </c>
      <c r="I8" s="4">
        <v>19.5</v>
      </c>
      <c r="J8" s="4">
        <v>26</v>
      </c>
      <c r="K8" s="4">
        <v>29</v>
      </c>
      <c r="L8" s="4">
        <v>29</v>
      </c>
      <c r="M8" s="4">
        <v>34.4</v>
      </c>
      <c r="N8" s="4">
        <v>45.1</v>
      </c>
      <c r="O8" s="4">
        <v>51</v>
      </c>
      <c r="P8" s="4">
        <v>58.7</v>
      </c>
      <c r="Q8" s="4">
        <v>71.7</v>
      </c>
      <c r="R8" s="4">
        <v>72.400000000000006</v>
      </c>
      <c r="S8" s="4">
        <v>71.8</v>
      </c>
    </row>
    <row r="9" spans="1:19" x14ac:dyDescent="0.2">
      <c r="A9" s="4" t="s">
        <v>31</v>
      </c>
      <c r="B9" s="4"/>
      <c r="C9" s="4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166.1</v>
      </c>
      <c r="M9" s="4">
        <v>190.1</v>
      </c>
      <c r="N9" s="4">
        <v>202</v>
      </c>
      <c r="O9" s="4">
        <v>221.9</v>
      </c>
      <c r="P9" s="4">
        <v>224.3</v>
      </c>
      <c r="Q9" s="4">
        <v>254.6</v>
      </c>
      <c r="R9" s="4">
        <v>297.3</v>
      </c>
      <c r="S9" s="4">
        <v>365</v>
      </c>
    </row>
    <row r="10" spans="1:19" x14ac:dyDescent="0.2">
      <c r="A10" s="4" t="s">
        <v>32</v>
      </c>
      <c r="B10" s="4"/>
      <c r="C10" s="4"/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1.3</v>
      </c>
      <c r="N10" s="4">
        <v>2</v>
      </c>
      <c r="O10" s="4">
        <v>2.5</v>
      </c>
      <c r="P10" s="4">
        <v>3.5</v>
      </c>
      <c r="Q10" s="4">
        <v>2.5</v>
      </c>
      <c r="R10" s="4">
        <v>3.4</v>
      </c>
      <c r="S10" s="4">
        <v>2.6</v>
      </c>
    </row>
    <row r="11" spans="1:19" x14ac:dyDescent="0.2">
      <c r="A11" s="4" t="s">
        <v>4</v>
      </c>
      <c r="B11" s="4"/>
      <c r="C11" s="4"/>
      <c r="D11" s="4">
        <v>104.8</v>
      </c>
      <c r="E11" s="4">
        <v>110.8</v>
      </c>
      <c r="F11" s="4">
        <v>114.1</v>
      </c>
      <c r="G11" s="4">
        <v>120.2</v>
      </c>
      <c r="H11" s="4">
        <v>121.7</v>
      </c>
      <c r="I11" s="4">
        <v>132.69999999999999</v>
      </c>
      <c r="J11" s="4">
        <v>140.80000000000001</v>
      </c>
      <c r="K11" s="4">
        <v>157.69999999999999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 spans="1:19" x14ac:dyDescent="0.2">
      <c r="A12" s="4" t="s">
        <v>5</v>
      </c>
      <c r="B12" s="4"/>
      <c r="C12" s="4"/>
      <c r="D12" s="4">
        <v>2.5</v>
      </c>
      <c r="E12" s="4">
        <v>3</v>
      </c>
      <c r="F12" s="4">
        <v>3.2</v>
      </c>
      <c r="G12" s="4">
        <v>4.5</v>
      </c>
      <c r="H12" s="4">
        <v>5.5</v>
      </c>
      <c r="I12" s="4">
        <v>6.6</v>
      </c>
      <c r="J12" s="4">
        <v>7.4</v>
      </c>
      <c r="K12" s="4">
        <v>9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 spans="1:19" x14ac:dyDescent="0.2">
      <c r="A13" s="4" t="s">
        <v>6</v>
      </c>
      <c r="B13" s="4"/>
      <c r="C13" s="4"/>
      <c r="D13" s="4">
        <v>89.5</v>
      </c>
      <c r="E13" s="4">
        <v>100.3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</row>
    <row r="14" spans="1:19" x14ac:dyDescent="0.2">
      <c r="A14" s="4" t="s">
        <v>7</v>
      </c>
      <c r="B14" s="4"/>
      <c r="C14" s="4"/>
      <c r="D14" s="4">
        <v>18.399999999999999</v>
      </c>
      <c r="E14" s="4">
        <v>20.100000000000001</v>
      </c>
      <c r="F14" s="4">
        <v>19.100000000000001</v>
      </c>
      <c r="G14" s="4">
        <v>18.7</v>
      </c>
      <c r="H14" s="4">
        <v>19.899999999999999</v>
      </c>
      <c r="I14" s="4">
        <v>26.1</v>
      </c>
      <c r="J14" s="4">
        <v>30.1</v>
      </c>
      <c r="K14" s="4">
        <v>32.5</v>
      </c>
      <c r="L14" s="4">
        <v>32.5</v>
      </c>
      <c r="M14" s="4">
        <v>36.6</v>
      </c>
      <c r="N14" s="4">
        <v>41.4</v>
      </c>
      <c r="O14" s="4">
        <v>47.1</v>
      </c>
      <c r="P14" s="4">
        <v>73.099999999999994</v>
      </c>
      <c r="Q14" s="4">
        <v>112.3</v>
      </c>
      <c r="R14" s="4">
        <v>121.8</v>
      </c>
      <c r="S14" s="4">
        <v>131.5</v>
      </c>
    </row>
    <row r="15" spans="1:19" x14ac:dyDescent="0.2">
      <c r="A15" s="4" t="s">
        <v>8</v>
      </c>
      <c r="B15" s="4"/>
      <c r="C15" s="4"/>
      <c r="D15" s="4">
        <v>208.1</v>
      </c>
      <c r="E15" s="4">
        <v>199</v>
      </c>
      <c r="F15" s="4">
        <v>184.1</v>
      </c>
      <c r="G15" s="4">
        <v>173.8</v>
      </c>
      <c r="H15" s="4">
        <v>183</v>
      </c>
      <c r="I15" s="4">
        <v>224.2</v>
      </c>
      <c r="J15" s="4">
        <v>267.8</v>
      </c>
      <c r="K15" s="4">
        <v>313.2</v>
      </c>
      <c r="L15" s="4">
        <v>313.2</v>
      </c>
      <c r="M15" s="4">
        <v>335.2</v>
      </c>
      <c r="N15" s="4">
        <v>371.3</v>
      </c>
      <c r="O15" s="4">
        <v>381.9</v>
      </c>
      <c r="P15" s="4">
        <v>369.4</v>
      </c>
      <c r="Q15" s="4">
        <v>348.4</v>
      </c>
      <c r="R15" s="4">
        <v>331</v>
      </c>
      <c r="S15" s="4">
        <v>328.1</v>
      </c>
    </row>
    <row r="16" spans="1:19" x14ac:dyDescent="0.2">
      <c r="A16" s="4" t="s">
        <v>9</v>
      </c>
      <c r="B16" s="4"/>
      <c r="C16" s="4"/>
      <c r="D16" s="4">
        <v>3.3</v>
      </c>
      <c r="E16" s="4">
        <v>3</v>
      </c>
      <c r="F16" s="4">
        <v>1.7</v>
      </c>
      <c r="G16" s="4">
        <v>1.7</v>
      </c>
      <c r="H16" s="4">
        <v>0.9</v>
      </c>
      <c r="I16" s="4">
        <v>4.4000000000000004</v>
      </c>
      <c r="J16" s="4">
        <v>1.8</v>
      </c>
      <c r="K16" s="4">
        <v>1.7</v>
      </c>
      <c r="L16" s="4">
        <v>1.7</v>
      </c>
      <c r="M16" s="4">
        <v>3.3</v>
      </c>
      <c r="N16" s="4">
        <v>1.5</v>
      </c>
      <c r="O16" s="4">
        <v>1.3</v>
      </c>
      <c r="P16" s="4">
        <v>1.5</v>
      </c>
      <c r="Q16" s="4">
        <v>2</v>
      </c>
      <c r="R16" s="4">
        <v>1.4</v>
      </c>
      <c r="S16" s="4">
        <v>1.4</v>
      </c>
    </row>
    <row r="17" spans="1:20" x14ac:dyDescent="0.2">
      <c r="A17" s="4" t="s">
        <v>10</v>
      </c>
      <c r="B17" s="4"/>
      <c r="C17" s="4"/>
      <c r="D17" s="4">
        <v>193</v>
      </c>
      <c r="E17" s="4">
        <v>210.4</v>
      </c>
      <c r="F17" s="4">
        <v>242.5</v>
      </c>
      <c r="G17" s="4">
        <v>276.7</v>
      </c>
      <c r="H17" s="4">
        <v>278.5</v>
      </c>
      <c r="I17" s="4">
        <v>292.10000000000002</v>
      </c>
      <c r="J17" s="4">
        <v>313.8</v>
      </c>
      <c r="K17" s="4">
        <v>336.8</v>
      </c>
      <c r="L17" s="4">
        <v>336.8</v>
      </c>
      <c r="M17" s="4">
        <v>370.3</v>
      </c>
      <c r="N17" s="4">
        <v>496.6</v>
      </c>
      <c r="O17" s="4">
        <v>509.5</v>
      </c>
      <c r="P17" s="4">
        <v>440.1</v>
      </c>
      <c r="Q17" s="4">
        <v>387.9</v>
      </c>
      <c r="R17" s="4">
        <v>358.7</v>
      </c>
      <c r="S17" s="4">
        <v>337.6</v>
      </c>
    </row>
    <row r="18" spans="1:20" x14ac:dyDescent="0.2">
      <c r="A18" s="4" t="s">
        <v>11</v>
      </c>
      <c r="B18" s="4"/>
      <c r="C18" s="4"/>
      <c r="D18" s="4">
        <v>242.6</v>
      </c>
      <c r="E18" s="4">
        <v>239.4</v>
      </c>
      <c r="F18" s="4">
        <v>230.4</v>
      </c>
      <c r="G18" s="4">
        <v>253</v>
      </c>
      <c r="H18" s="4">
        <v>277.3</v>
      </c>
      <c r="I18" s="4">
        <v>290.2</v>
      </c>
      <c r="J18" s="4">
        <v>294.3</v>
      </c>
      <c r="K18" s="4">
        <v>311.7</v>
      </c>
      <c r="L18" s="4">
        <v>311.7</v>
      </c>
      <c r="M18" s="4">
        <v>344.4</v>
      </c>
      <c r="N18" s="4">
        <v>371.6</v>
      </c>
      <c r="O18" s="4">
        <v>389.4</v>
      </c>
      <c r="P18" s="4">
        <v>478.8</v>
      </c>
      <c r="Q18" s="4">
        <v>490.4</v>
      </c>
      <c r="R18" s="4">
        <v>519.20000000000005</v>
      </c>
      <c r="S18" s="4">
        <v>608.9</v>
      </c>
    </row>
    <row r="19" spans="1:20" x14ac:dyDescent="0.2">
      <c r="A19" s="4" t="s">
        <v>12</v>
      </c>
      <c r="B19" s="4"/>
      <c r="C19" s="4"/>
      <c r="D19" s="4">
        <v>60.7</v>
      </c>
      <c r="E19" s="4">
        <v>69.7</v>
      </c>
      <c r="F19" s="4">
        <v>67.7</v>
      </c>
      <c r="G19" s="4">
        <v>74.7</v>
      </c>
      <c r="H19" s="4">
        <v>86</v>
      </c>
      <c r="I19" s="4">
        <v>89.3</v>
      </c>
      <c r="J19" s="4">
        <v>89.1</v>
      </c>
      <c r="K19" s="4">
        <v>89.4</v>
      </c>
      <c r="L19" s="4">
        <v>89.4</v>
      </c>
      <c r="M19" s="4">
        <v>89.4</v>
      </c>
      <c r="N19" s="4">
        <v>91.2</v>
      </c>
      <c r="O19" s="4">
        <v>77.900000000000006</v>
      </c>
      <c r="P19" s="4">
        <v>81.2</v>
      </c>
      <c r="Q19" s="4">
        <v>81.599999999999994</v>
      </c>
      <c r="R19" s="4">
        <v>82.5</v>
      </c>
      <c r="S19" s="4">
        <v>86</v>
      </c>
    </row>
    <row r="20" spans="1:20" x14ac:dyDescent="0.2">
      <c r="A20" s="4" t="s">
        <v>26</v>
      </c>
      <c r="B20" s="4"/>
      <c r="C20" s="4"/>
      <c r="D20" s="4">
        <v>0</v>
      </c>
      <c r="E20" s="4">
        <v>0</v>
      </c>
      <c r="F20" s="4"/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0.6</v>
      </c>
      <c r="O20" s="4">
        <v>2.2999999999999998</v>
      </c>
      <c r="P20" s="4">
        <v>5.9</v>
      </c>
      <c r="Q20" s="4">
        <v>7.6</v>
      </c>
      <c r="R20" s="4">
        <v>8.6</v>
      </c>
      <c r="S20" s="4">
        <v>12.3</v>
      </c>
    </row>
    <row r="21" spans="1:20" x14ac:dyDescent="0.2">
      <c r="A21" s="4" t="s">
        <v>13</v>
      </c>
      <c r="B21" s="4"/>
      <c r="C21" s="4"/>
      <c r="D21" s="4">
        <v>9.1999999999999993</v>
      </c>
      <c r="E21" s="4">
        <v>22.7</v>
      </c>
      <c r="F21" s="4">
        <v>29.2</v>
      </c>
      <c r="G21" s="4">
        <v>35.4</v>
      </c>
      <c r="H21" s="4">
        <v>39.4</v>
      </c>
      <c r="I21" s="4">
        <v>44.4</v>
      </c>
      <c r="J21" s="4">
        <v>44.6</v>
      </c>
      <c r="K21" s="4">
        <v>39.700000000000003</v>
      </c>
      <c r="L21" s="4">
        <v>39.700000000000003</v>
      </c>
      <c r="M21" s="4">
        <v>36.1</v>
      </c>
      <c r="N21" s="4">
        <v>33.299999999999997</v>
      </c>
      <c r="O21" s="4">
        <v>31.3</v>
      </c>
      <c r="P21" s="4">
        <v>29.1</v>
      </c>
      <c r="Q21" s="4">
        <v>24.9</v>
      </c>
      <c r="R21" s="4">
        <v>21</v>
      </c>
      <c r="S21" s="4">
        <v>17</v>
      </c>
    </row>
    <row r="22" spans="1:20" x14ac:dyDescent="0.2">
      <c r="A22" s="4" t="s">
        <v>14</v>
      </c>
      <c r="B22" s="4"/>
      <c r="C22" s="4"/>
      <c r="D22" s="4">
        <v>13.1</v>
      </c>
      <c r="E22" s="4">
        <v>11.9</v>
      </c>
      <c r="F22" s="4">
        <v>11.3</v>
      </c>
      <c r="G22" s="4">
        <v>19</v>
      </c>
      <c r="H22" s="4">
        <v>21</v>
      </c>
      <c r="I22" s="4">
        <v>24.9</v>
      </c>
      <c r="J22" s="4">
        <v>32</v>
      </c>
      <c r="K22" s="4">
        <v>42.9</v>
      </c>
      <c r="L22" s="4">
        <v>42.9</v>
      </c>
      <c r="M22" s="4">
        <v>50.9</v>
      </c>
      <c r="N22" s="4">
        <v>50.1</v>
      </c>
      <c r="O22" s="4">
        <v>38.700000000000003</v>
      </c>
      <c r="P22" s="4">
        <v>35.4</v>
      </c>
      <c r="Q22" s="4">
        <v>40</v>
      </c>
      <c r="R22" s="4">
        <v>30.9</v>
      </c>
      <c r="S22" s="4">
        <v>26.6</v>
      </c>
      <c r="T22">
        <f>AVERAGE(D22:S22)</f>
        <v>30.724999999999998</v>
      </c>
    </row>
    <row r="23" spans="1:20" x14ac:dyDescent="0.2">
      <c r="A23" s="3" t="s">
        <v>19</v>
      </c>
      <c r="B23" s="3"/>
      <c r="C23" s="3"/>
      <c r="D23" s="3">
        <f t="shared" ref="D23:M23" si="0">SUM(D4:D22)</f>
        <v>1402.7999999999997</v>
      </c>
      <c r="E23" s="3">
        <f t="shared" si="0"/>
        <v>1457.1000000000004</v>
      </c>
      <c r="F23" s="3">
        <f t="shared" si="0"/>
        <v>1480.5000000000002</v>
      </c>
      <c r="G23" s="3">
        <f t="shared" si="0"/>
        <v>1603.6000000000004</v>
      </c>
      <c r="H23" s="3">
        <f t="shared" si="0"/>
        <v>1763.0000000000002</v>
      </c>
      <c r="I23" s="3">
        <f t="shared" si="0"/>
        <v>1900.7000000000003</v>
      </c>
      <c r="J23" s="3">
        <f t="shared" si="0"/>
        <v>2030.8999999999996</v>
      </c>
      <c r="K23" s="3">
        <f t="shared" si="0"/>
        <v>2226</v>
      </c>
      <c r="L23" s="3">
        <f t="shared" si="0"/>
        <v>3043.4999999999995</v>
      </c>
      <c r="M23" s="3">
        <f t="shared" si="0"/>
        <v>3212.4</v>
      </c>
      <c r="N23" s="3">
        <f t="shared" ref="N23" si="1">SUM(N4:N22)</f>
        <v>3424.7999999999997</v>
      </c>
      <c r="O23" s="3">
        <f>SUM(O4:O22)</f>
        <v>3517.2000000000012</v>
      </c>
      <c r="P23" s="3">
        <f>SUM(P4:P22)</f>
        <v>3672.6</v>
      </c>
      <c r="Q23" s="3">
        <f t="shared" ref="Q23:S23" si="2">SUM(Q4:Q22)</f>
        <v>3772.0000000000005</v>
      </c>
      <c r="R23" s="3">
        <f t="shared" si="2"/>
        <v>3716.1000000000004</v>
      </c>
      <c r="S23" s="3">
        <f t="shared" si="2"/>
        <v>3710.3</v>
      </c>
    </row>
    <row r="29" spans="1:20" x14ac:dyDescent="0.2">
      <c r="B29" s="7" t="s">
        <v>28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20" x14ac:dyDescent="0.2">
      <c r="B30" s="1" t="s">
        <v>33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20" x14ac:dyDescent="0.2">
      <c r="B31" s="1" t="s">
        <v>34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20" x14ac:dyDescent="0.2">
      <c r="B32" s="1" t="s">
        <v>35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7" x14ac:dyDescent="0.2">
      <c r="B33" s="1" t="s">
        <v>36</v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7" x14ac:dyDescent="0.2">
      <c r="B34" s="1" t="s">
        <v>37</v>
      </c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7" x14ac:dyDescent="0.2">
      <c r="B35" s="1" t="s">
        <v>38</v>
      </c>
      <c r="C35" s="1"/>
      <c r="D35" s="1"/>
      <c r="E35" s="1"/>
      <c r="F35" s="1"/>
      <c r="G35" s="1"/>
      <c r="H35" s="1"/>
      <c r="I35" s="1"/>
      <c r="J35" s="1"/>
      <c r="K35" s="1"/>
      <c r="L35" s="1"/>
    </row>
    <row r="39" spans="1:17" x14ac:dyDescent="0.2">
      <c r="A39" s="3" t="s">
        <v>43</v>
      </c>
      <c r="B39" s="3"/>
      <c r="C39" s="3"/>
      <c r="D39" s="3"/>
      <c r="E39" s="3"/>
      <c r="F39" s="3"/>
      <c r="G39" s="3"/>
      <c r="H39" s="3"/>
    </row>
    <row r="40" spans="1:17" x14ac:dyDescent="0.2">
      <c r="A40" s="3">
        <v>2005</v>
      </c>
      <c r="B40" s="3">
        <v>2006</v>
      </c>
      <c r="C40" s="3">
        <v>2007</v>
      </c>
      <c r="D40" s="3">
        <v>2008</v>
      </c>
      <c r="E40" s="3">
        <v>2009</v>
      </c>
      <c r="F40" s="3">
        <v>2010</v>
      </c>
      <c r="G40" s="3">
        <v>2011</v>
      </c>
      <c r="H40" s="3">
        <v>2012</v>
      </c>
    </row>
    <row r="41" spans="1:17" x14ac:dyDescent="0.2">
      <c r="A41" s="5">
        <f>L4/L23</f>
        <v>0.5385575817315591</v>
      </c>
      <c r="B41" s="5">
        <f t="shared" ref="B41:H41" si="3">M4/M23</f>
        <v>0.52340928900510519</v>
      </c>
      <c r="C41" s="5">
        <f t="shared" si="3"/>
        <v>0.48881686521840695</v>
      </c>
      <c r="D41" s="5">
        <f t="shared" si="3"/>
        <v>0.48928124644603649</v>
      </c>
      <c r="E41" s="5">
        <f t="shared" si="3"/>
        <v>0.49771279202744656</v>
      </c>
      <c r="F41" s="5">
        <f t="shared" si="3"/>
        <v>0.50522269353128313</v>
      </c>
      <c r="G41" s="5">
        <f t="shared" si="3"/>
        <v>0.49153682624256606</v>
      </c>
      <c r="H41" s="5">
        <f t="shared" si="3"/>
        <v>0.45257795865563433</v>
      </c>
    </row>
    <row r="42" spans="1:17" x14ac:dyDescent="0.2">
      <c r="A42" s="4" t="s">
        <v>44</v>
      </c>
      <c r="B42" s="4">
        <f>AVERAGE(A41:H41)</f>
        <v>0.49838940660725467</v>
      </c>
      <c r="C42" s="4"/>
      <c r="D42" s="4"/>
      <c r="E42" s="4"/>
      <c r="F42" s="4"/>
      <c r="G42" s="4"/>
      <c r="H42" s="4"/>
    </row>
    <row r="45" spans="1:17" x14ac:dyDescent="0.2">
      <c r="A45" s="1" t="s">
        <v>46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">
      <c r="C46" s="3">
        <v>1998</v>
      </c>
      <c r="D46" s="3">
        <v>1999</v>
      </c>
      <c r="E46" s="3">
        <v>2000</v>
      </c>
      <c r="F46" s="3">
        <v>2001</v>
      </c>
      <c r="G46" s="3">
        <v>2002</v>
      </c>
      <c r="H46" s="3">
        <v>2003</v>
      </c>
      <c r="I46" s="3">
        <v>2004</v>
      </c>
      <c r="J46" s="3">
        <v>2005</v>
      </c>
      <c r="K46" s="3">
        <v>2006</v>
      </c>
      <c r="L46" s="3">
        <v>2007</v>
      </c>
      <c r="M46" s="3">
        <v>2008</v>
      </c>
      <c r="N46" s="3">
        <v>2009</v>
      </c>
      <c r="O46" s="3">
        <v>2010</v>
      </c>
      <c r="P46" s="3">
        <v>2011</v>
      </c>
      <c r="Q46" s="3">
        <v>2012</v>
      </c>
    </row>
    <row r="47" spans="1:17" x14ac:dyDescent="0.2">
      <c r="A47" s="3"/>
      <c r="B47" s="3" t="s">
        <v>45</v>
      </c>
      <c r="C47" s="4">
        <f>($L$4/$K$4-1)*D4</f>
        <v>425.19688147155563</v>
      </c>
      <c r="D47" s="4">
        <f>($L$4/$K$4-1)*E4</f>
        <v>434.16727981483734</v>
      </c>
      <c r="E47" s="4">
        <f>($L$4/$K$4-1)*F4</f>
        <v>529.45284443903029</v>
      </c>
      <c r="F47" s="4">
        <f>($L$4/$K$4-1)*G4</f>
        <v>579.18871969789257</v>
      </c>
      <c r="G47" s="4">
        <f>($L$4/$K$4-1)*H4</f>
        <v>676.46770617614811</v>
      </c>
      <c r="H47" s="4">
        <f>($L$4/$K$4-1)*I4</f>
        <v>701.48515044463386</v>
      </c>
      <c r="I47" s="4">
        <f>($L$4/$K$4-1)*J4</f>
        <v>739.95819222804232</v>
      </c>
      <c r="J47" s="4">
        <f>($L$4/$K$4-1)*K4</f>
        <v>818.19999999999993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</row>
    <row r="48" spans="1:17" x14ac:dyDescent="0.2">
      <c r="A48" s="3"/>
      <c r="B48" s="6" t="s">
        <v>47</v>
      </c>
      <c r="C48" s="5">
        <f>(D4+C47)/(D23+C47)</f>
        <v>0.46597283075551582</v>
      </c>
      <c r="D48" s="5">
        <f>(E4+D47)/(E23+D47)</f>
        <v>0.45988596593284842</v>
      </c>
      <c r="E48" s="5">
        <f>(F4+E47)/(F23+E47)</f>
        <v>0.52770036241076801</v>
      </c>
      <c r="F48" s="5">
        <f>(G4+F47)/(G23+F47)</f>
        <v>0.53156254163640793</v>
      </c>
      <c r="G48" s="5">
        <f>(H4+G47)/(H23+G47)</f>
        <v>0.55551778887877379</v>
      </c>
      <c r="H48" s="5">
        <f>(I4+H47)/(I23+H47)</f>
        <v>0.54004041572695682</v>
      </c>
      <c r="I48" s="5">
        <f>(J4+I47)/(J23+I47)</f>
        <v>0.53498161558245638</v>
      </c>
      <c r="J48" s="5">
        <f>(K4+J47)/(K23+J47)</f>
        <v>0.5384337428552658</v>
      </c>
      <c r="K48" s="5">
        <f>(L4+K47)/(L23+K47)</f>
        <v>0.5385575817315591</v>
      </c>
      <c r="L48" s="5">
        <f>(M4+L47)/(M23+L47)</f>
        <v>0.52340928900510519</v>
      </c>
      <c r="M48" s="5">
        <f>(N4+M47)/(N23+M47)</f>
        <v>0.48881686521840695</v>
      </c>
      <c r="N48" s="5">
        <f>(O4+N47)/(O23+N47)</f>
        <v>0.48928124644603649</v>
      </c>
      <c r="O48" s="5">
        <f>(P4+O47)/(P23+O47)</f>
        <v>0.49771279202744656</v>
      </c>
      <c r="P48" s="5">
        <f>(Q4+P47)/(Q23+P47)</f>
        <v>0.50522269353128313</v>
      </c>
      <c r="Q48" s="5">
        <f>(R4+Q47)/(R23+Q47)</f>
        <v>0.49153682624256606</v>
      </c>
    </row>
    <row r="53" spans="1:19" x14ac:dyDescent="0.2">
      <c r="A53" s="1" t="s">
        <v>184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">
      <c r="A54" s="3" t="s">
        <v>15</v>
      </c>
      <c r="B54" s="3"/>
      <c r="C54" s="3"/>
      <c r="D54" s="3">
        <v>1998</v>
      </c>
      <c r="E54" s="3">
        <v>1999</v>
      </c>
      <c r="F54" s="3">
        <v>2000</v>
      </c>
      <c r="G54" s="3">
        <v>2001</v>
      </c>
      <c r="H54" s="3">
        <v>2002</v>
      </c>
      <c r="I54" s="3">
        <v>2003</v>
      </c>
      <c r="J54" s="3">
        <v>2004</v>
      </c>
      <c r="K54" s="3">
        <v>2005</v>
      </c>
      <c r="L54" s="3">
        <v>2005</v>
      </c>
      <c r="M54" s="3">
        <v>2006</v>
      </c>
      <c r="N54" s="3">
        <v>2007</v>
      </c>
      <c r="O54" s="3">
        <v>2008</v>
      </c>
      <c r="P54" s="3">
        <v>2009</v>
      </c>
      <c r="Q54" s="3">
        <v>2010</v>
      </c>
      <c r="R54" s="3">
        <v>2011</v>
      </c>
      <c r="S54" s="3">
        <v>2012</v>
      </c>
    </row>
    <row r="55" spans="1:19" x14ac:dyDescent="0.2">
      <c r="A55" s="4" t="s">
        <v>0</v>
      </c>
      <c r="B55" s="4"/>
      <c r="C55" s="4"/>
      <c r="D55" s="4">
        <f>D4+C47</f>
        <v>851.79688147155571</v>
      </c>
      <c r="E55" s="4">
        <f>E4+D47</f>
        <v>869.76727981483737</v>
      </c>
      <c r="F55" s="4">
        <f>F4+E47</f>
        <v>1060.6528444390303</v>
      </c>
      <c r="G55" s="4">
        <f>G4+F47</f>
        <v>1160.2887196978927</v>
      </c>
      <c r="H55" s="4">
        <f>H4+G47</f>
        <v>1355.1677061761482</v>
      </c>
      <c r="I55" s="4">
        <f>I4+H47</f>
        <v>1405.2851504446339</v>
      </c>
      <c r="J55" s="4">
        <f>J4+I47</f>
        <v>1482.3581922280423</v>
      </c>
      <c r="K55" s="4">
        <f>K4+J47</f>
        <v>1639.1</v>
      </c>
      <c r="L55" s="4">
        <f>L4+K47</f>
        <v>1639.1</v>
      </c>
      <c r="M55" s="4">
        <f>M4+L47</f>
        <v>1681.4</v>
      </c>
      <c r="N55" s="4">
        <f>N4+M47</f>
        <v>1674.1</v>
      </c>
      <c r="O55" s="4">
        <f>O4+N47</f>
        <v>1720.9</v>
      </c>
      <c r="P55" s="4">
        <f>P4+O47</f>
        <v>1827.9</v>
      </c>
      <c r="Q55" s="4">
        <f>Q4+P47</f>
        <v>1905.7</v>
      </c>
      <c r="R55" s="4">
        <f>R4+Q47</f>
        <v>1826.6</v>
      </c>
      <c r="S55" s="4">
        <f>S4+R47</f>
        <v>1679.2</v>
      </c>
    </row>
    <row r="56" spans="1:19" x14ac:dyDescent="0.2">
      <c r="A56" s="4" t="s">
        <v>1</v>
      </c>
      <c r="B56" s="4"/>
      <c r="C56" s="4"/>
      <c r="D56" s="4">
        <v>25.7</v>
      </c>
      <c r="E56" s="4">
        <v>25</v>
      </c>
      <c r="F56" s="4">
        <v>31.9</v>
      </c>
      <c r="G56" s="4">
        <v>29.3</v>
      </c>
      <c r="H56" s="4">
        <v>32.1</v>
      </c>
      <c r="I56" s="4">
        <v>35.4</v>
      </c>
      <c r="J56" s="4">
        <v>31.8</v>
      </c>
      <c r="K56" s="4">
        <v>32.1</v>
      </c>
      <c r="L56" s="4">
        <v>32.1</v>
      </c>
      <c r="M56" s="4">
        <v>28.1</v>
      </c>
      <c r="N56" s="4">
        <v>29.2</v>
      </c>
      <c r="O56" s="4">
        <v>26.2</v>
      </c>
      <c r="P56" s="4">
        <v>27.1</v>
      </c>
      <c r="Q56" s="4">
        <v>23.9</v>
      </c>
      <c r="R56" s="4">
        <v>22.3</v>
      </c>
      <c r="S56" s="4">
        <v>22.9</v>
      </c>
    </row>
    <row r="57" spans="1:19" x14ac:dyDescent="0.2">
      <c r="A57" s="4" t="s">
        <v>2</v>
      </c>
      <c r="B57" s="4"/>
      <c r="C57" s="4"/>
      <c r="D57" s="4">
        <v>2.8</v>
      </c>
      <c r="E57" s="4">
        <v>2.7</v>
      </c>
      <c r="F57" s="4">
        <v>2.4</v>
      </c>
      <c r="G57" s="4">
        <v>3.5</v>
      </c>
      <c r="H57" s="4">
        <v>3.4</v>
      </c>
      <c r="I57" s="4">
        <v>2.7</v>
      </c>
      <c r="J57" s="4">
        <v>4.3</v>
      </c>
      <c r="K57" s="4">
        <v>4.4000000000000004</v>
      </c>
      <c r="L57" s="4">
        <v>4.4000000000000004</v>
      </c>
      <c r="M57" s="4">
        <v>5.8</v>
      </c>
      <c r="N57" s="4">
        <v>5.3</v>
      </c>
      <c r="O57" s="4">
        <v>4.9000000000000004</v>
      </c>
      <c r="P57" s="4">
        <v>5.0999999999999996</v>
      </c>
      <c r="Q57" s="4">
        <v>5.6</v>
      </c>
      <c r="R57" s="4">
        <v>5.9</v>
      </c>
      <c r="S57" s="4">
        <v>6.1</v>
      </c>
    </row>
    <row r="58" spans="1:19" x14ac:dyDescent="0.2">
      <c r="A58" s="4" t="s">
        <v>3</v>
      </c>
      <c r="B58" s="4"/>
      <c r="C58" s="4"/>
      <c r="D58" s="4">
        <v>2.5</v>
      </c>
      <c r="E58" s="4">
        <v>3.5</v>
      </c>
      <c r="F58" s="4">
        <v>3.7</v>
      </c>
      <c r="G58" s="4">
        <v>4</v>
      </c>
      <c r="H58" s="4">
        <v>4.0999999999999996</v>
      </c>
      <c r="I58" s="4">
        <v>4.4000000000000004</v>
      </c>
      <c r="J58" s="4">
        <v>4.7</v>
      </c>
      <c r="K58" s="4">
        <v>5</v>
      </c>
      <c r="L58" s="4">
        <v>4.9000000000000004</v>
      </c>
      <c r="M58" s="4">
        <v>5.0999999999999996</v>
      </c>
      <c r="N58" s="4">
        <v>9.5</v>
      </c>
      <c r="O58" s="4">
        <v>10.4</v>
      </c>
      <c r="P58" s="4">
        <v>11.5</v>
      </c>
      <c r="Q58" s="4">
        <v>12.9</v>
      </c>
      <c r="R58" s="4">
        <v>13.1</v>
      </c>
      <c r="S58" s="4">
        <v>13.3</v>
      </c>
    </row>
    <row r="59" spans="1:19" x14ac:dyDescent="0.2">
      <c r="A59" s="4" t="s">
        <v>22</v>
      </c>
      <c r="B59" s="4"/>
      <c r="C59" s="4"/>
      <c r="D59" s="4">
        <v>0</v>
      </c>
      <c r="E59" s="4">
        <v>0</v>
      </c>
      <c r="F59" s="4">
        <v>8</v>
      </c>
      <c r="G59" s="4">
        <v>8</v>
      </c>
      <c r="H59" s="4">
        <v>11.5</v>
      </c>
      <c r="I59" s="4">
        <v>19.5</v>
      </c>
      <c r="J59" s="4">
        <v>26</v>
      </c>
      <c r="K59" s="4">
        <v>29</v>
      </c>
      <c r="L59" s="4">
        <v>29</v>
      </c>
      <c r="M59" s="4">
        <v>34.4</v>
      </c>
      <c r="N59" s="4">
        <v>45.1</v>
      </c>
      <c r="O59" s="4">
        <v>51</v>
      </c>
      <c r="P59" s="4">
        <v>58.7</v>
      </c>
      <c r="Q59" s="4">
        <v>71.7</v>
      </c>
      <c r="R59" s="4">
        <v>72.400000000000006</v>
      </c>
      <c r="S59" s="4">
        <v>71.8</v>
      </c>
    </row>
    <row r="60" spans="1:19" x14ac:dyDescent="0.2">
      <c r="A60" s="4" t="s">
        <v>31</v>
      </c>
      <c r="B60" s="4"/>
      <c r="C60" s="4"/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166.1</v>
      </c>
      <c r="M60" s="4">
        <v>190.1</v>
      </c>
      <c r="N60" s="4">
        <v>202</v>
      </c>
      <c r="O60" s="4">
        <v>221.9</v>
      </c>
      <c r="P60" s="4">
        <v>224.3</v>
      </c>
      <c r="Q60" s="4">
        <v>254.6</v>
      </c>
      <c r="R60" s="4">
        <v>297.3</v>
      </c>
      <c r="S60" s="4">
        <v>365</v>
      </c>
    </row>
    <row r="61" spans="1:19" x14ac:dyDescent="0.2">
      <c r="A61" s="4" t="s">
        <v>32</v>
      </c>
      <c r="B61" s="4"/>
      <c r="C61" s="4"/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1.3</v>
      </c>
      <c r="N61" s="4">
        <v>2</v>
      </c>
      <c r="O61" s="4">
        <v>2.5</v>
      </c>
      <c r="P61" s="4">
        <v>3.5</v>
      </c>
      <c r="Q61" s="4">
        <v>2.5</v>
      </c>
      <c r="R61" s="4">
        <v>3.4</v>
      </c>
      <c r="S61" s="4">
        <v>2.6</v>
      </c>
    </row>
    <row r="62" spans="1:19" x14ac:dyDescent="0.2">
      <c r="A62" s="4" t="s">
        <v>4</v>
      </c>
      <c r="B62" s="4"/>
      <c r="C62" s="4"/>
      <c r="D62" s="4">
        <v>104.8</v>
      </c>
      <c r="E62" s="4">
        <v>110.8</v>
      </c>
      <c r="F62" s="4">
        <v>114.1</v>
      </c>
      <c r="G62" s="4">
        <v>120.2</v>
      </c>
      <c r="H62" s="4">
        <v>121.7</v>
      </c>
      <c r="I62" s="4">
        <v>132.69999999999999</v>
      </c>
      <c r="J62" s="4">
        <v>140.80000000000001</v>
      </c>
      <c r="K62" s="4">
        <v>157.69999999999999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</row>
    <row r="63" spans="1:19" x14ac:dyDescent="0.2">
      <c r="A63" s="4" t="s">
        <v>5</v>
      </c>
      <c r="B63" s="4"/>
      <c r="C63" s="4"/>
      <c r="D63" s="4">
        <v>2.5</v>
      </c>
      <c r="E63" s="4">
        <v>3</v>
      </c>
      <c r="F63" s="4">
        <v>3.2</v>
      </c>
      <c r="G63" s="4">
        <v>4.5</v>
      </c>
      <c r="H63" s="4">
        <v>5.5</v>
      </c>
      <c r="I63" s="4">
        <v>6.6</v>
      </c>
      <c r="J63" s="4">
        <v>7.4</v>
      </c>
      <c r="K63" s="4">
        <v>9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</row>
    <row r="64" spans="1:19" x14ac:dyDescent="0.2">
      <c r="A64" s="4" t="s">
        <v>6</v>
      </c>
      <c r="B64" s="4"/>
      <c r="C64" s="4"/>
      <c r="D64" s="4">
        <v>89.5</v>
      </c>
      <c r="E64" s="4">
        <v>100.3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</row>
    <row r="65" spans="1:20" x14ac:dyDescent="0.2">
      <c r="A65" s="4" t="s">
        <v>7</v>
      </c>
      <c r="B65" s="4"/>
      <c r="C65" s="4"/>
      <c r="D65" s="4">
        <v>18.399999999999999</v>
      </c>
      <c r="E65" s="4">
        <v>20.100000000000001</v>
      </c>
      <c r="F65" s="4">
        <v>19.100000000000001</v>
      </c>
      <c r="G65" s="4">
        <v>18.7</v>
      </c>
      <c r="H65" s="4">
        <v>19.899999999999999</v>
      </c>
      <c r="I65" s="4">
        <v>26.1</v>
      </c>
      <c r="J65" s="4">
        <v>30.1</v>
      </c>
      <c r="K65" s="4">
        <v>32.5</v>
      </c>
      <c r="L65" s="4">
        <v>32.5</v>
      </c>
      <c r="M65" s="4">
        <v>36.6</v>
      </c>
      <c r="N65" s="4">
        <v>41.4</v>
      </c>
      <c r="O65" s="4">
        <v>47.1</v>
      </c>
      <c r="P65" s="4">
        <v>73.099999999999994</v>
      </c>
      <c r="Q65" s="4">
        <v>112.3</v>
      </c>
      <c r="R65" s="4">
        <v>121.8</v>
      </c>
      <c r="S65" s="4">
        <v>131.5</v>
      </c>
    </row>
    <row r="66" spans="1:20" x14ac:dyDescent="0.2">
      <c r="A66" s="4" t="s">
        <v>8</v>
      </c>
      <c r="B66" s="4"/>
      <c r="C66" s="4"/>
      <c r="D66" s="4">
        <v>208.1</v>
      </c>
      <c r="E66" s="4">
        <v>199</v>
      </c>
      <c r="F66" s="4">
        <v>184.1</v>
      </c>
      <c r="G66" s="4">
        <v>173.8</v>
      </c>
      <c r="H66" s="4">
        <v>183</v>
      </c>
      <c r="I66" s="4">
        <v>224.2</v>
      </c>
      <c r="J66" s="4">
        <v>267.8</v>
      </c>
      <c r="K66" s="4">
        <v>313.2</v>
      </c>
      <c r="L66" s="4">
        <v>313.2</v>
      </c>
      <c r="M66" s="4">
        <v>335.2</v>
      </c>
      <c r="N66" s="4">
        <v>371.3</v>
      </c>
      <c r="O66" s="4">
        <v>381.9</v>
      </c>
      <c r="P66" s="4">
        <v>369.4</v>
      </c>
      <c r="Q66" s="4">
        <v>348.4</v>
      </c>
      <c r="R66" s="4">
        <v>331</v>
      </c>
      <c r="S66" s="4">
        <v>328.1</v>
      </c>
    </row>
    <row r="67" spans="1:20" x14ac:dyDescent="0.2">
      <c r="A67" s="4" t="s">
        <v>9</v>
      </c>
      <c r="B67" s="4"/>
      <c r="C67" s="4"/>
      <c r="D67" s="4">
        <v>3.3</v>
      </c>
      <c r="E67" s="4">
        <v>3</v>
      </c>
      <c r="F67" s="4">
        <v>1.7</v>
      </c>
      <c r="G67" s="4">
        <v>1.7</v>
      </c>
      <c r="H67" s="4">
        <v>0.9</v>
      </c>
      <c r="I67" s="4">
        <v>4.4000000000000004</v>
      </c>
      <c r="J67" s="4">
        <v>1.8</v>
      </c>
      <c r="K67" s="4">
        <v>1.7</v>
      </c>
      <c r="L67" s="4">
        <v>1.7</v>
      </c>
      <c r="M67" s="4">
        <v>3.3</v>
      </c>
      <c r="N67" s="4">
        <v>1.5</v>
      </c>
      <c r="O67" s="4">
        <v>1.3</v>
      </c>
      <c r="P67" s="4">
        <v>1.5</v>
      </c>
      <c r="Q67" s="4">
        <v>2</v>
      </c>
      <c r="R67" s="4">
        <v>1.4</v>
      </c>
      <c r="S67" s="4">
        <v>1.4</v>
      </c>
    </row>
    <row r="68" spans="1:20" x14ac:dyDescent="0.2">
      <c r="A68" s="4" t="s">
        <v>10</v>
      </c>
      <c r="B68" s="4"/>
      <c r="C68" s="4"/>
      <c r="D68" s="4">
        <v>193</v>
      </c>
      <c r="E68" s="4">
        <v>210.4</v>
      </c>
      <c r="F68" s="4">
        <v>242.5</v>
      </c>
      <c r="G68" s="4">
        <v>276.7</v>
      </c>
      <c r="H68" s="4">
        <v>278.5</v>
      </c>
      <c r="I68" s="4">
        <v>292.10000000000002</v>
      </c>
      <c r="J68" s="4">
        <v>313.8</v>
      </c>
      <c r="K68" s="4">
        <v>336.8</v>
      </c>
      <c r="L68" s="4">
        <v>336.8</v>
      </c>
      <c r="M68" s="4">
        <v>370.3</v>
      </c>
      <c r="N68" s="4">
        <v>496.6</v>
      </c>
      <c r="O68" s="4">
        <v>509.5</v>
      </c>
      <c r="P68" s="4">
        <v>440.1</v>
      </c>
      <c r="Q68" s="4">
        <v>387.9</v>
      </c>
      <c r="R68" s="4">
        <v>358.7</v>
      </c>
      <c r="S68" s="4">
        <v>337.6</v>
      </c>
    </row>
    <row r="69" spans="1:20" x14ac:dyDescent="0.2">
      <c r="A69" s="4" t="s">
        <v>11</v>
      </c>
      <c r="B69" s="4"/>
      <c r="C69" s="4"/>
      <c r="D69" s="4">
        <v>242.6</v>
      </c>
      <c r="E69" s="4">
        <v>239.4</v>
      </c>
      <c r="F69" s="4">
        <v>230.4</v>
      </c>
      <c r="G69" s="4">
        <v>253</v>
      </c>
      <c r="H69" s="4">
        <v>277.3</v>
      </c>
      <c r="I69" s="4">
        <v>290.2</v>
      </c>
      <c r="J69" s="4">
        <v>294.3</v>
      </c>
      <c r="K69" s="4">
        <v>311.7</v>
      </c>
      <c r="L69" s="4">
        <v>311.7</v>
      </c>
      <c r="M69" s="4">
        <v>344.4</v>
      </c>
      <c r="N69" s="4">
        <v>371.6</v>
      </c>
      <c r="O69" s="4">
        <v>389.4</v>
      </c>
      <c r="P69" s="4">
        <v>478.8</v>
      </c>
      <c r="Q69" s="4">
        <v>490.4</v>
      </c>
      <c r="R69" s="4">
        <v>519.20000000000005</v>
      </c>
      <c r="S69" s="4">
        <v>608.9</v>
      </c>
    </row>
    <row r="70" spans="1:20" x14ac:dyDescent="0.2">
      <c r="A70" s="4" t="s">
        <v>12</v>
      </c>
      <c r="B70" s="4"/>
      <c r="C70" s="4"/>
      <c r="D70" s="4">
        <v>60.7</v>
      </c>
      <c r="E70" s="4">
        <v>69.7</v>
      </c>
      <c r="F70" s="4">
        <v>67.7</v>
      </c>
      <c r="G70" s="4">
        <v>74.7</v>
      </c>
      <c r="H70" s="4">
        <v>86</v>
      </c>
      <c r="I70" s="4">
        <v>89.3</v>
      </c>
      <c r="J70" s="4">
        <v>89.1</v>
      </c>
      <c r="K70" s="4">
        <v>89.4</v>
      </c>
      <c r="L70" s="4">
        <v>89.4</v>
      </c>
      <c r="M70" s="4">
        <v>89.4</v>
      </c>
      <c r="N70" s="4">
        <v>91.2</v>
      </c>
      <c r="O70" s="4">
        <v>77.900000000000006</v>
      </c>
      <c r="P70" s="4">
        <v>81.2</v>
      </c>
      <c r="Q70" s="4">
        <v>81.599999999999994</v>
      </c>
      <c r="R70" s="4">
        <v>82.5</v>
      </c>
      <c r="S70" s="4">
        <v>86</v>
      </c>
    </row>
    <row r="71" spans="1:20" x14ac:dyDescent="0.2">
      <c r="A71" s="4" t="s">
        <v>26</v>
      </c>
      <c r="B71" s="4"/>
      <c r="C71" s="4"/>
      <c r="D71" s="4">
        <v>0</v>
      </c>
      <c r="E71" s="4">
        <v>0</v>
      </c>
      <c r="F71" s="4"/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0.6</v>
      </c>
      <c r="O71" s="4">
        <v>2.2999999999999998</v>
      </c>
      <c r="P71" s="4">
        <v>5.9</v>
      </c>
      <c r="Q71" s="4">
        <v>7.6</v>
      </c>
      <c r="R71" s="4">
        <v>8.6</v>
      </c>
      <c r="S71" s="4">
        <v>12.3</v>
      </c>
    </row>
    <row r="72" spans="1:20" x14ac:dyDescent="0.2">
      <c r="A72" s="4" t="s">
        <v>13</v>
      </c>
      <c r="B72" s="4"/>
      <c r="C72" s="4"/>
      <c r="D72" s="4">
        <v>9.1999999999999993</v>
      </c>
      <c r="E72" s="4">
        <v>22.7</v>
      </c>
      <c r="F72" s="4">
        <v>29.2</v>
      </c>
      <c r="G72" s="4">
        <v>35.4</v>
      </c>
      <c r="H72" s="4">
        <v>39.4</v>
      </c>
      <c r="I72" s="4">
        <v>44.4</v>
      </c>
      <c r="J72" s="4">
        <v>44.6</v>
      </c>
      <c r="K72" s="4">
        <v>39.700000000000003</v>
      </c>
      <c r="L72" s="4">
        <v>39.700000000000003</v>
      </c>
      <c r="M72" s="4">
        <v>36.1</v>
      </c>
      <c r="N72" s="4">
        <v>33.299999999999997</v>
      </c>
      <c r="O72" s="4">
        <v>31.3</v>
      </c>
      <c r="P72" s="4">
        <v>29.1</v>
      </c>
      <c r="Q72" s="4">
        <v>24.9</v>
      </c>
      <c r="R72" s="4">
        <v>21</v>
      </c>
      <c r="S72" s="4">
        <v>17</v>
      </c>
    </row>
    <row r="73" spans="1:20" x14ac:dyDescent="0.2">
      <c r="A73" s="4" t="s">
        <v>14</v>
      </c>
      <c r="B73" s="4"/>
      <c r="C73" s="4"/>
      <c r="D73" s="4">
        <v>13.1</v>
      </c>
      <c r="E73" s="4">
        <v>11.9</v>
      </c>
      <c r="F73" s="4">
        <v>11.3</v>
      </c>
      <c r="G73" s="4">
        <v>19</v>
      </c>
      <c r="H73" s="4">
        <v>21</v>
      </c>
      <c r="I73" s="4">
        <v>24.9</v>
      </c>
      <c r="J73" s="4">
        <v>32</v>
      </c>
      <c r="K73" s="4">
        <v>42.9</v>
      </c>
      <c r="L73" s="4">
        <v>42.9</v>
      </c>
      <c r="M73" s="4">
        <v>50.9</v>
      </c>
      <c r="N73" s="4">
        <v>50.1</v>
      </c>
      <c r="O73" s="4">
        <v>38.700000000000003</v>
      </c>
      <c r="P73" s="4">
        <v>35.4</v>
      </c>
      <c r="Q73" s="4">
        <v>40</v>
      </c>
      <c r="R73" s="4">
        <v>30.9</v>
      </c>
      <c r="S73" s="4">
        <v>26.6</v>
      </c>
      <c r="T73">
        <f>AVERAGE(D73:S73)</f>
        <v>30.724999999999998</v>
      </c>
    </row>
    <row r="74" spans="1:20" x14ac:dyDescent="0.2">
      <c r="A74" s="3" t="s">
        <v>19</v>
      </c>
      <c r="B74" s="3"/>
      <c r="C74" s="3"/>
      <c r="D74" s="3">
        <f t="shared" ref="D74:M74" si="4">SUM(D55:D73)</f>
        <v>1827.9968814715555</v>
      </c>
      <c r="E74" s="3">
        <f t="shared" si="4"/>
        <v>1891.2672798148376</v>
      </c>
      <c r="F74" s="3">
        <f t="shared" si="4"/>
        <v>2009.9528444390305</v>
      </c>
      <c r="G74" s="3">
        <f t="shared" si="4"/>
        <v>2182.7887196978927</v>
      </c>
      <c r="H74" s="3">
        <f t="shared" si="4"/>
        <v>2439.4677061761486</v>
      </c>
      <c r="I74" s="3">
        <f t="shared" si="4"/>
        <v>2602.1851504446345</v>
      </c>
      <c r="J74" s="3">
        <f t="shared" si="4"/>
        <v>2770.8581922280423</v>
      </c>
      <c r="K74" s="3">
        <f t="shared" si="4"/>
        <v>3044.2</v>
      </c>
      <c r="L74" s="3">
        <f t="shared" si="4"/>
        <v>3043.4999999999995</v>
      </c>
      <c r="M74" s="3">
        <f t="shared" si="4"/>
        <v>3212.4</v>
      </c>
      <c r="N74" s="3">
        <f t="shared" ref="N74" si="5">SUM(N55:N73)</f>
        <v>3424.7999999999997</v>
      </c>
      <c r="O74" s="3">
        <f>SUM(O55:O73)</f>
        <v>3517.2000000000012</v>
      </c>
      <c r="P74" s="3">
        <f>SUM(P55:P73)</f>
        <v>3672.6</v>
      </c>
      <c r="Q74" s="3">
        <f t="shared" ref="Q74:S74" si="6">SUM(Q55:Q73)</f>
        <v>3772.0000000000005</v>
      </c>
      <c r="R74" s="3">
        <f t="shared" si="6"/>
        <v>3716.1000000000004</v>
      </c>
      <c r="S74" s="3">
        <f t="shared" si="6"/>
        <v>3710.3</v>
      </c>
    </row>
    <row r="77" spans="1:20" x14ac:dyDescent="0.2">
      <c r="A77" s="1" t="s">
        <v>50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t="s">
        <v>117</v>
      </c>
    </row>
    <row r="78" spans="1:20" x14ac:dyDescent="0.2">
      <c r="A78" s="4" t="s">
        <v>48</v>
      </c>
      <c r="B78" s="4"/>
      <c r="C78" s="4"/>
      <c r="D78" s="4">
        <f>D55+D64+D68+D69+D70+D71</f>
        <v>1437.5968814715557</v>
      </c>
      <c r="E78" s="4">
        <f t="shared" ref="E78:S78" si="7">E55+E64+E68+E69+E70+E71</f>
        <v>1489.5672798148375</v>
      </c>
      <c r="F78" s="4">
        <f t="shared" si="7"/>
        <v>1601.2528444390305</v>
      </c>
      <c r="G78" s="4">
        <f t="shared" si="7"/>
        <v>1764.6887196978928</v>
      </c>
      <c r="H78" s="4">
        <f t="shared" si="7"/>
        <v>1996.9677061761481</v>
      </c>
      <c r="I78" s="4">
        <f t="shared" si="7"/>
        <v>2076.8851504446338</v>
      </c>
      <c r="J78" s="4">
        <f t="shared" si="7"/>
        <v>2179.5581922280421</v>
      </c>
      <c r="K78" s="4">
        <f t="shared" si="7"/>
        <v>2377</v>
      </c>
      <c r="L78" s="4">
        <f t="shared" si="7"/>
        <v>2377</v>
      </c>
      <c r="M78" s="4">
        <f t="shared" si="7"/>
        <v>2485.5000000000005</v>
      </c>
      <c r="N78" s="4">
        <f t="shared" si="7"/>
        <v>2634.0999999999995</v>
      </c>
      <c r="O78" s="4">
        <f t="shared" si="7"/>
        <v>2700.0000000000005</v>
      </c>
      <c r="P78" s="4">
        <f t="shared" si="7"/>
        <v>2833.9</v>
      </c>
      <c r="Q78" s="4">
        <f t="shared" si="7"/>
        <v>2873.2</v>
      </c>
      <c r="R78" s="4">
        <f t="shared" si="7"/>
        <v>2795.6</v>
      </c>
      <c r="S78" s="4">
        <f t="shared" si="7"/>
        <v>2724.0000000000005</v>
      </c>
      <c r="T78" s="4">
        <f>AVERAGE(D78:S78)</f>
        <v>2271.6760483920089</v>
      </c>
    </row>
    <row r="79" spans="1:20" x14ac:dyDescent="0.2">
      <c r="A79" s="4" t="s">
        <v>49</v>
      </c>
      <c r="B79" s="4"/>
      <c r="C79" s="4"/>
      <c r="D79" s="4">
        <f>D73</f>
        <v>13.1</v>
      </c>
      <c r="E79" s="4">
        <f t="shared" ref="E79:S79" si="8">E73</f>
        <v>11.9</v>
      </c>
      <c r="F79" s="4">
        <f t="shared" si="8"/>
        <v>11.3</v>
      </c>
      <c r="G79" s="4">
        <f t="shared" si="8"/>
        <v>19</v>
      </c>
      <c r="H79" s="4">
        <f t="shared" si="8"/>
        <v>21</v>
      </c>
      <c r="I79" s="4">
        <f t="shared" si="8"/>
        <v>24.9</v>
      </c>
      <c r="J79" s="4">
        <f t="shared" si="8"/>
        <v>32</v>
      </c>
      <c r="K79" s="4">
        <f t="shared" si="8"/>
        <v>42.9</v>
      </c>
      <c r="L79" s="4">
        <f t="shared" si="8"/>
        <v>42.9</v>
      </c>
      <c r="M79" s="4">
        <f t="shared" si="8"/>
        <v>50.9</v>
      </c>
      <c r="N79" s="4">
        <f t="shared" si="8"/>
        <v>50.1</v>
      </c>
      <c r="O79" s="4">
        <f t="shared" si="8"/>
        <v>38.700000000000003</v>
      </c>
      <c r="P79" s="4">
        <f t="shared" si="8"/>
        <v>35.4</v>
      </c>
      <c r="Q79" s="4">
        <f t="shared" si="8"/>
        <v>40</v>
      </c>
      <c r="R79" s="4">
        <f t="shared" si="8"/>
        <v>30.9</v>
      </c>
      <c r="S79" s="4">
        <f t="shared" si="8"/>
        <v>26.6</v>
      </c>
      <c r="T79" s="4">
        <f t="shared" ref="T79:T81" si="9">AVERAGE(D79:S79)</f>
        <v>30.724999999999998</v>
      </c>
    </row>
    <row r="80" spans="1:20" x14ac:dyDescent="0.2">
      <c r="A80" s="4" t="s">
        <v>51</v>
      </c>
      <c r="B80" s="4"/>
      <c r="C80" s="4"/>
      <c r="D80" s="5">
        <f>D79/D78</f>
        <v>9.1124293387382371E-3</v>
      </c>
      <c r="E80" s="5">
        <f t="shared" ref="E80:S80" si="10">E79/E78</f>
        <v>7.988897286653104E-3</v>
      </c>
      <c r="F80" s="5">
        <f t="shared" si="10"/>
        <v>7.0569741932035397E-3</v>
      </c>
      <c r="G80" s="5">
        <f t="shared" si="10"/>
        <v>1.0766771378950457E-2</v>
      </c>
      <c r="H80" s="5">
        <f t="shared" si="10"/>
        <v>1.051594371559038E-2</v>
      </c>
      <c r="I80" s="5">
        <f t="shared" si="10"/>
        <v>1.1989107820752262E-2</v>
      </c>
      <c r="J80" s="5">
        <f t="shared" si="10"/>
        <v>1.4681874571693893E-2</v>
      </c>
      <c r="K80" s="5">
        <f t="shared" si="10"/>
        <v>1.804795961295751E-2</v>
      </c>
      <c r="L80" s="5">
        <f t="shared" si="10"/>
        <v>1.804795961295751E-2</v>
      </c>
      <c r="M80" s="5">
        <f t="shared" si="10"/>
        <v>2.0478776906055117E-2</v>
      </c>
      <c r="N80" s="5">
        <f t="shared" si="10"/>
        <v>1.9019779051668507E-2</v>
      </c>
      <c r="O80" s="5">
        <f t="shared" si="10"/>
        <v>1.4333333333333332E-2</v>
      </c>
      <c r="P80" s="5">
        <f t="shared" si="10"/>
        <v>1.2491619323194184E-2</v>
      </c>
      <c r="Q80" s="5">
        <f t="shared" si="10"/>
        <v>1.39217597104274E-2</v>
      </c>
      <c r="R80" s="5">
        <f t="shared" si="10"/>
        <v>1.1053083416797825E-2</v>
      </c>
      <c r="S80" s="5">
        <f t="shared" si="10"/>
        <v>9.7650513950073414E-3</v>
      </c>
      <c r="T80" s="5">
        <f t="shared" si="9"/>
        <v>1.3079457541748787E-2</v>
      </c>
    </row>
    <row r="81" spans="1:20" x14ac:dyDescent="0.2">
      <c r="A81" s="3" t="s">
        <v>19</v>
      </c>
      <c r="B81" s="3"/>
      <c r="C81" s="3"/>
      <c r="D81" s="3">
        <f>D79+D78</f>
        <v>1450.6968814715556</v>
      </c>
      <c r="E81" s="3">
        <f t="shared" ref="E81:S81" si="11">E79+E78</f>
        <v>1501.4672798148376</v>
      </c>
      <c r="F81" s="3">
        <f t="shared" si="11"/>
        <v>1612.5528444390304</v>
      </c>
      <c r="G81" s="3">
        <f t="shared" si="11"/>
        <v>1783.6887196978928</v>
      </c>
      <c r="H81" s="3">
        <f t="shared" si="11"/>
        <v>2017.9677061761481</v>
      </c>
      <c r="I81" s="3">
        <f t="shared" si="11"/>
        <v>2101.7851504446339</v>
      </c>
      <c r="J81" s="3">
        <f t="shared" si="11"/>
        <v>2211.5581922280421</v>
      </c>
      <c r="K81" s="3">
        <f t="shared" si="11"/>
        <v>2419.9</v>
      </c>
      <c r="L81" s="3">
        <f t="shared" si="11"/>
        <v>2419.9</v>
      </c>
      <c r="M81" s="3">
        <f t="shared" si="11"/>
        <v>2536.4000000000005</v>
      </c>
      <c r="N81" s="3">
        <f t="shared" si="11"/>
        <v>2684.1999999999994</v>
      </c>
      <c r="O81" s="3">
        <f t="shared" si="11"/>
        <v>2738.7000000000003</v>
      </c>
      <c r="P81" s="3">
        <f t="shared" si="11"/>
        <v>2869.3</v>
      </c>
      <c r="Q81" s="3">
        <f t="shared" si="11"/>
        <v>2913.2</v>
      </c>
      <c r="R81" s="3">
        <f t="shared" si="11"/>
        <v>2826.5</v>
      </c>
      <c r="S81" s="3">
        <f t="shared" si="11"/>
        <v>2750.6000000000004</v>
      </c>
      <c r="T81" s="4">
        <f t="shared" si="9"/>
        <v>2302.4010483920088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"/>
  <sheetViews>
    <sheetView workbookViewId="0">
      <selection activeCell="G5" sqref="G5"/>
    </sheetView>
  </sheetViews>
  <sheetFormatPr baseColWidth="10" defaultColWidth="20.33203125" defaultRowHeight="16" x14ac:dyDescent="0.2"/>
  <sheetData>
    <row r="1" spans="1:8" x14ac:dyDescent="0.2">
      <c r="A1" s="40" t="s">
        <v>185</v>
      </c>
      <c r="B1" s="40"/>
      <c r="C1" s="40"/>
      <c r="D1" s="40"/>
      <c r="E1" s="40"/>
      <c r="F1" s="40"/>
    </row>
    <row r="2" spans="1:8" x14ac:dyDescent="0.2">
      <c r="A2" s="26"/>
      <c r="B2" s="26"/>
      <c r="C2" s="27" t="s">
        <v>97</v>
      </c>
      <c r="D2" s="27"/>
      <c r="E2" s="26" t="s">
        <v>114</v>
      </c>
      <c r="F2" s="26"/>
      <c r="G2" s="14"/>
      <c r="H2" s="14"/>
    </row>
    <row r="3" spans="1:8" x14ac:dyDescent="0.2">
      <c r="A3" s="26"/>
      <c r="B3" s="26"/>
      <c r="C3" s="26"/>
      <c r="D3" s="26"/>
      <c r="E3" s="26"/>
      <c r="F3" s="26"/>
      <c r="G3" s="14"/>
      <c r="H3" s="14"/>
    </row>
    <row r="4" spans="1:8" x14ac:dyDescent="0.2">
      <c r="A4" s="28" t="s">
        <v>98</v>
      </c>
      <c r="B4" s="26"/>
      <c r="C4" s="36" t="s">
        <v>99</v>
      </c>
      <c r="D4" s="36" t="s">
        <v>100</v>
      </c>
      <c r="E4" s="36" t="s">
        <v>101</v>
      </c>
      <c r="F4" s="36" t="s">
        <v>102</v>
      </c>
    </row>
    <row r="5" spans="1:8" x14ac:dyDescent="0.2">
      <c r="A5" s="26"/>
      <c r="B5" s="26"/>
      <c r="C5" s="38" t="s">
        <v>103</v>
      </c>
      <c r="D5" s="38"/>
      <c r="E5" s="38"/>
      <c r="F5" s="38"/>
    </row>
    <row r="6" spans="1:8" x14ac:dyDescent="0.2">
      <c r="A6" s="22" t="s">
        <v>104</v>
      </c>
      <c r="B6" s="23"/>
      <c r="C6" s="2">
        <v>26.8</v>
      </c>
      <c r="D6" s="2">
        <v>15.68</v>
      </c>
      <c r="E6" s="2">
        <v>5.69</v>
      </c>
      <c r="F6" s="2">
        <v>5.44</v>
      </c>
    </row>
    <row r="7" spans="1:8" x14ac:dyDescent="0.2">
      <c r="A7" s="22" t="s">
        <v>105</v>
      </c>
      <c r="B7" s="23"/>
      <c r="C7" s="2">
        <v>1.08</v>
      </c>
      <c r="D7" s="2">
        <v>1.06</v>
      </c>
      <c r="E7" s="2">
        <v>0.71</v>
      </c>
      <c r="F7" s="2">
        <v>0.64</v>
      </c>
    </row>
    <row r="8" spans="1:8" x14ac:dyDescent="0.2">
      <c r="A8" s="22" t="s">
        <v>106</v>
      </c>
      <c r="B8" s="23"/>
      <c r="C8" s="2">
        <v>46.5</v>
      </c>
      <c r="D8" s="2">
        <v>46.13</v>
      </c>
      <c r="E8" s="2">
        <v>43.09</v>
      </c>
      <c r="F8" s="2">
        <v>37.049999999999997</v>
      </c>
    </row>
    <row r="9" spans="1:8" x14ac:dyDescent="0.2">
      <c r="A9" s="22" t="s">
        <v>107</v>
      </c>
      <c r="B9" s="23"/>
      <c r="C9" s="2">
        <v>11.26</v>
      </c>
      <c r="D9" s="2">
        <v>5.79</v>
      </c>
      <c r="E9" s="2">
        <v>3.92</v>
      </c>
      <c r="F9" s="2">
        <v>1.55</v>
      </c>
    </row>
    <row r="10" spans="1:8" x14ac:dyDescent="0.2">
      <c r="A10" s="22" t="s">
        <v>108</v>
      </c>
      <c r="B10" s="23"/>
      <c r="C10" s="2">
        <v>0.42</v>
      </c>
      <c r="D10" s="2">
        <v>0.37</v>
      </c>
      <c r="E10" s="2">
        <v>0.69</v>
      </c>
      <c r="F10" s="2">
        <v>0.28999999999999998</v>
      </c>
    </row>
    <row r="11" spans="1:8" x14ac:dyDescent="0.2">
      <c r="A11" s="22" t="s">
        <v>109</v>
      </c>
      <c r="B11" s="23"/>
      <c r="C11" s="2">
        <v>5.12</v>
      </c>
      <c r="D11" s="2">
        <v>5.03</v>
      </c>
      <c r="E11" s="2">
        <v>5.37</v>
      </c>
      <c r="F11" s="2">
        <v>5.14</v>
      </c>
    </row>
    <row r="12" spans="1:8" x14ac:dyDescent="0.2">
      <c r="A12" s="22" t="s">
        <v>110</v>
      </c>
      <c r="B12" s="23"/>
      <c r="C12" s="2">
        <v>3.78</v>
      </c>
      <c r="D12" s="2">
        <v>3.06</v>
      </c>
      <c r="E12" s="24">
        <v>5.62</v>
      </c>
      <c r="F12" s="2">
        <v>3.92</v>
      </c>
    </row>
    <row r="13" spans="1:8" x14ac:dyDescent="0.2">
      <c r="A13" s="22" t="s">
        <v>111</v>
      </c>
      <c r="B13" s="23"/>
      <c r="C13" s="2">
        <v>14.96</v>
      </c>
      <c r="D13" s="2">
        <v>15.85</v>
      </c>
      <c r="E13" s="2">
        <v>13.85</v>
      </c>
      <c r="F13" s="2">
        <v>13.55</v>
      </c>
    </row>
    <row r="14" spans="1:8" x14ac:dyDescent="0.2">
      <c r="A14" s="25"/>
      <c r="B14" s="25"/>
      <c r="C14" s="39" t="s">
        <v>112</v>
      </c>
      <c r="D14" s="39"/>
      <c r="E14" s="39"/>
      <c r="F14" s="39"/>
    </row>
    <row r="15" spans="1:8" x14ac:dyDescent="0.2">
      <c r="A15" s="22" t="s">
        <v>104</v>
      </c>
      <c r="B15" s="23"/>
      <c r="C15" s="2">
        <v>7.93</v>
      </c>
      <c r="D15" s="2">
        <v>5.84</v>
      </c>
      <c r="E15" s="2">
        <v>0.38</v>
      </c>
      <c r="F15" s="2">
        <v>1.71</v>
      </c>
    </row>
    <row r="16" spans="1:8" x14ac:dyDescent="0.2">
      <c r="A16" s="22" t="s">
        <v>105</v>
      </c>
      <c r="B16" s="23"/>
      <c r="C16" s="2">
        <v>0.61</v>
      </c>
      <c r="D16" s="2">
        <v>0.6</v>
      </c>
      <c r="E16" s="2">
        <v>0.14000000000000001</v>
      </c>
      <c r="F16" s="2">
        <v>0.33</v>
      </c>
    </row>
    <row r="17" spans="1:6" x14ac:dyDescent="0.2">
      <c r="A17" s="22" t="s">
        <v>106</v>
      </c>
      <c r="B17" s="23"/>
      <c r="C17" s="2">
        <v>26.09</v>
      </c>
      <c r="D17" s="2">
        <v>25.88</v>
      </c>
      <c r="E17" s="2">
        <v>17.18</v>
      </c>
      <c r="F17" s="2">
        <v>18.61</v>
      </c>
    </row>
    <row r="18" spans="1:6" x14ac:dyDescent="0.2">
      <c r="A18" s="22" t="s">
        <v>107</v>
      </c>
      <c r="B18" s="23"/>
      <c r="C18" s="2">
        <v>3.7</v>
      </c>
      <c r="D18" s="2">
        <v>2.31</v>
      </c>
      <c r="E18" s="2">
        <v>0.61</v>
      </c>
      <c r="F18" s="2">
        <v>0.78</v>
      </c>
    </row>
    <row r="19" spans="1:6" x14ac:dyDescent="0.2">
      <c r="A19" s="22" t="s">
        <v>108</v>
      </c>
      <c r="B19" s="23"/>
      <c r="C19" s="2">
        <v>0.47</v>
      </c>
      <c r="D19" s="2">
        <v>0.4</v>
      </c>
      <c r="E19" s="2">
        <v>1.64</v>
      </c>
      <c r="F19" s="2">
        <v>0.46</v>
      </c>
    </row>
    <row r="20" spans="1:6" x14ac:dyDescent="0.2">
      <c r="A20" s="22" t="s">
        <v>109</v>
      </c>
      <c r="B20" s="23"/>
      <c r="C20" s="2">
        <v>4.59</v>
      </c>
      <c r="D20" s="2">
        <v>4.62</v>
      </c>
      <c r="E20" s="2">
        <v>4.66</v>
      </c>
      <c r="F20" s="2">
        <v>4.47</v>
      </c>
    </row>
    <row r="21" spans="1:6" x14ac:dyDescent="0.2">
      <c r="A21" s="22" t="s">
        <v>110</v>
      </c>
      <c r="B21" s="23"/>
      <c r="C21" s="2">
        <v>0.03</v>
      </c>
      <c r="D21" s="2">
        <v>0.03</v>
      </c>
      <c r="E21" s="2">
        <v>0.05</v>
      </c>
      <c r="F21" s="2">
        <v>0.03</v>
      </c>
    </row>
    <row r="22" spans="1:6" x14ac:dyDescent="0.2">
      <c r="A22" s="22" t="s">
        <v>111</v>
      </c>
      <c r="B22" s="23"/>
      <c r="C22" s="2">
        <v>15.2</v>
      </c>
      <c r="D22" s="2">
        <v>15.8</v>
      </c>
      <c r="E22" s="2">
        <v>14.36</v>
      </c>
      <c r="F22" s="2">
        <v>13.64</v>
      </c>
    </row>
    <row r="23" spans="1:6" x14ac:dyDescent="0.2">
      <c r="A23" s="25"/>
      <c r="B23" s="25"/>
      <c r="C23" s="39" t="s">
        <v>113</v>
      </c>
      <c r="D23" s="39"/>
      <c r="E23" s="39"/>
      <c r="F23" s="39"/>
    </row>
    <row r="24" spans="1:6" x14ac:dyDescent="0.2">
      <c r="A24" s="22" t="s">
        <v>104</v>
      </c>
      <c r="B24" s="23"/>
      <c r="C24" s="2">
        <v>18.88</v>
      </c>
      <c r="D24" s="2">
        <v>9.84</v>
      </c>
      <c r="E24" s="2">
        <v>5.31</v>
      </c>
      <c r="F24" s="2">
        <v>3.72</v>
      </c>
    </row>
    <row r="25" spans="1:6" x14ac:dyDescent="0.2">
      <c r="A25" s="22" t="s">
        <v>105</v>
      </c>
      <c r="B25" s="23"/>
      <c r="C25" s="2">
        <v>0.65</v>
      </c>
      <c r="D25" s="2">
        <v>0.63</v>
      </c>
      <c r="E25" s="2">
        <v>0.63</v>
      </c>
      <c r="F25" s="2">
        <v>0.39</v>
      </c>
    </row>
    <row r="26" spans="1:6" x14ac:dyDescent="0.2">
      <c r="A26" s="22" t="s">
        <v>106</v>
      </c>
      <c r="B26" s="23"/>
      <c r="C26" s="2">
        <v>41.71</v>
      </c>
      <c r="D26" s="2">
        <v>41.27</v>
      </c>
      <c r="E26" s="2">
        <v>41.29</v>
      </c>
      <c r="F26" s="2">
        <v>34.35</v>
      </c>
    </row>
    <row r="27" spans="1:6" x14ac:dyDescent="0.2">
      <c r="A27" s="22" t="s">
        <v>107</v>
      </c>
      <c r="B27" s="23"/>
      <c r="C27" s="2">
        <v>7.56</v>
      </c>
      <c r="D27" s="2">
        <v>3.48</v>
      </c>
      <c r="E27" s="2">
        <v>3.31</v>
      </c>
      <c r="F27" s="2">
        <v>0.77</v>
      </c>
    </row>
    <row r="28" spans="1:6" x14ac:dyDescent="0.2">
      <c r="A28" s="22" t="s">
        <v>108</v>
      </c>
      <c r="B28" s="23"/>
      <c r="C28" s="2">
        <v>0.4</v>
      </c>
      <c r="D28" s="2">
        <v>0.36</v>
      </c>
      <c r="E28" s="2">
        <v>0.63</v>
      </c>
      <c r="F28" s="2">
        <v>0.21</v>
      </c>
    </row>
    <row r="29" spans="1:6" x14ac:dyDescent="0.2">
      <c r="A29" s="22" t="s">
        <v>109</v>
      </c>
      <c r="B29" s="23"/>
      <c r="C29" s="2">
        <v>5.36</v>
      </c>
      <c r="D29" s="2">
        <v>5.29</v>
      </c>
      <c r="E29" s="2">
        <v>5.42</v>
      </c>
      <c r="F29" s="2">
        <v>5.46</v>
      </c>
    </row>
    <row r="30" spans="1:6" x14ac:dyDescent="0.2">
      <c r="A30" s="22" t="s">
        <v>110</v>
      </c>
      <c r="B30" s="23"/>
      <c r="C30" s="2">
        <v>5.33</v>
      </c>
      <c r="D30" s="2">
        <v>4.83</v>
      </c>
      <c r="E30" s="2">
        <v>6</v>
      </c>
      <c r="F30" s="2">
        <v>5.7</v>
      </c>
    </row>
    <row r="31" spans="1:6" x14ac:dyDescent="0.2">
      <c r="A31" s="22" t="s">
        <v>111</v>
      </c>
      <c r="B31" s="23"/>
      <c r="C31" s="2">
        <v>14.83</v>
      </c>
      <c r="D31" s="2">
        <v>15.88</v>
      </c>
      <c r="E31" s="2">
        <v>13.81</v>
      </c>
      <c r="F31" s="2">
        <v>13.5</v>
      </c>
    </row>
    <row r="33" spans="1:6" x14ac:dyDescent="0.2">
      <c r="A33" s="29" t="s">
        <v>115</v>
      </c>
      <c r="C33" s="36" t="s">
        <v>99</v>
      </c>
      <c r="D33" s="36" t="s">
        <v>100</v>
      </c>
      <c r="E33" s="36" t="s">
        <v>101</v>
      </c>
      <c r="F33" s="36" t="s">
        <v>102</v>
      </c>
    </row>
    <row r="34" spans="1:6" x14ac:dyDescent="0.2">
      <c r="C34" s="38" t="s">
        <v>103</v>
      </c>
      <c r="D34" s="38"/>
      <c r="E34" s="38"/>
      <c r="F34" s="38"/>
    </row>
    <row r="35" spans="1:6" x14ac:dyDescent="0.2">
      <c r="A35" s="22" t="s">
        <v>116</v>
      </c>
      <c r="B35" s="23"/>
      <c r="C35" s="30">
        <f>C6*10^6</f>
        <v>26800000</v>
      </c>
      <c r="D35" s="30">
        <f t="shared" ref="D35:F35" si="0">D6*10^6</f>
        <v>15680000</v>
      </c>
      <c r="E35" s="30">
        <f t="shared" si="0"/>
        <v>5690000</v>
      </c>
      <c r="F35" s="30">
        <f t="shared" si="0"/>
        <v>5440000</v>
      </c>
    </row>
    <row r="36" spans="1:6" x14ac:dyDescent="0.2">
      <c r="A36" s="22" t="s">
        <v>169</v>
      </c>
      <c r="B36" s="23"/>
      <c r="C36" s="30">
        <f>C7*10^6</f>
        <v>1080000</v>
      </c>
      <c r="D36" s="30">
        <f t="shared" ref="D36:F36" si="1">D7*10^6</f>
        <v>1060000</v>
      </c>
      <c r="E36" s="30">
        <f t="shared" si="1"/>
        <v>710000</v>
      </c>
      <c r="F36" s="30">
        <f t="shared" si="1"/>
        <v>640000</v>
      </c>
    </row>
    <row r="37" spans="1:6" x14ac:dyDescent="0.2">
      <c r="A37" s="22" t="s">
        <v>170</v>
      </c>
      <c r="B37" s="23"/>
      <c r="C37" s="30">
        <f>C8*10^3</f>
        <v>46500</v>
      </c>
      <c r="D37" s="30">
        <f t="shared" ref="D37:F37" si="2">D8*10^3</f>
        <v>46130</v>
      </c>
      <c r="E37" s="30">
        <f t="shared" si="2"/>
        <v>43090</v>
      </c>
      <c r="F37" s="30">
        <f t="shared" si="2"/>
        <v>37050</v>
      </c>
    </row>
    <row r="38" spans="1:6" x14ac:dyDescent="0.2">
      <c r="A38" s="22" t="s">
        <v>171</v>
      </c>
      <c r="B38" s="23"/>
      <c r="C38" s="30">
        <f>C9*10^12</f>
        <v>11260000000000</v>
      </c>
      <c r="D38" s="30">
        <f>D9*10^12</f>
        <v>5790000000000</v>
      </c>
      <c r="E38" s="30">
        <f>E9*10^12</f>
        <v>3920000000000</v>
      </c>
      <c r="F38" s="30">
        <f>F9*10^12</f>
        <v>1550000000000</v>
      </c>
    </row>
    <row r="39" spans="1:6" x14ac:dyDescent="0.2">
      <c r="A39" s="22" t="s">
        <v>172</v>
      </c>
      <c r="B39" s="23"/>
      <c r="C39" s="30">
        <f>C10*10^6</f>
        <v>420000</v>
      </c>
      <c r="D39" s="30">
        <f t="shared" ref="D39:F39" si="3">D10*10^6</f>
        <v>370000</v>
      </c>
      <c r="E39" s="30">
        <f t="shared" si="3"/>
        <v>690000</v>
      </c>
      <c r="F39" s="30">
        <f t="shared" si="3"/>
        <v>290000</v>
      </c>
    </row>
    <row r="40" spans="1:6" x14ac:dyDescent="0.2">
      <c r="A40" s="22" t="s">
        <v>109</v>
      </c>
      <c r="B40" s="23"/>
      <c r="C40" s="34">
        <f>C11/100</f>
        <v>5.1200000000000002E-2</v>
      </c>
      <c r="D40" s="34">
        <f t="shared" ref="D40:F40" si="4">D11/100</f>
        <v>5.0300000000000004E-2</v>
      </c>
      <c r="E40" s="34">
        <f t="shared" si="4"/>
        <v>5.3699999999999998E-2</v>
      </c>
      <c r="F40" s="34">
        <f t="shared" si="4"/>
        <v>5.1399999999999994E-2</v>
      </c>
    </row>
    <row r="41" spans="1:6" x14ac:dyDescent="0.2">
      <c r="A41" s="22" t="s">
        <v>110</v>
      </c>
      <c r="B41" s="23"/>
      <c r="C41" s="2">
        <v>3.78</v>
      </c>
      <c r="D41" s="2">
        <v>3.06</v>
      </c>
      <c r="E41" s="24">
        <v>5.62</v>
      </c>
      <c r="F41" s="2">
        <v>3.92</v>
      </c>
    </row>
    <row r="42" spans="1:6" x14ac:dyDescent="0.2">
      <c r="A42" s="22" t="s">
        <v>111</v>
      </c>
      <c r="B42" s="23"/>
      <c r="C42" s="2">
        <v>14.96</v>
      </c>
      <c r="D42" s="2">
        <v>15.85</v>
      </c>
      <c r="E42" s="2">
        <v>13.85</v>
      </c>
      <c r="F42" s="2">
        <v>13.55</v>
      </c>
    </row>
    <row r="43" spans="1:6" x14ac:dyDescent="0.2">
      <c r="A43" s="25"/>
      <c r="B43" s="25"/>
      <c r="C43" s="39" t="s">
        <v>112</v>
      </c>
      <c r="D43" s="39"/>
      <c r="E43" s="39"/>
      <c r="F43" s="39"/>
    </row>
    <row r="44" spans="1:6" x14ac:dyDescent="0.2">
      <c r="A44" s="22" t="s">
        <v>116</v>
      </c>
      <c r="B44" s="23"/>
      <c r="C44" s="30">
        <f>C15*10^6</f>
        <v>7930000</v>
      </c>
      <c r="D44" s="30">
        <f t="shared" ref="D44:F44" si="5">D15*10^6</f>
        <v>5840000</v>
      </c>
      <c r="E44" s="30">
        <f t="shared" si="5"/>
        <v>380000</v>
      </c>
      <c r="F44" s="30">
        <f t="shared" si="5"/>
        <v>1710000</v>
      </c>
    </row>
    <row r="45" spans="1:6" x14ac:dyDescent="0.2">
      <c r="A45" s="22" t="s">
        <v>169</v>
      </c>
      <c r="B45" s="23"/>
      <c r="C45" s="30">
        <f>C16*10^6</f>
        <v>610000</v>
      </c>
      <c r="D45" s="30">
        <f t="shared" ref="D45:F45" si="6">D16*10^6</f>
        <v>600000</v>
      </c>
      <c r="E45" s="30">
        <f t="shared" si="6"/>
        <v>140000</v>
      </c>
      <c r="F45" s="30">
        <f t="shared" si="6"/>
        <v>330000</v>
      </c>
    </row>
    <row r="46" spans="1:6" x14ac:dyDescent="0.2">
      <c r="A46" s="22" t="s">
        <v>170</v>
      </c>
      <c r="B46" s="23"/>
      <c r="C46" s="30">
        <f>C17*10^3</f>
        <v>26090</v>
      </c>
      <c r="D46" s="30">
        <f t="shared" ref="D46:F46" si="7">D17*10^3</f>
        <v>25880</v>
      </c>
      <c r="E46" s="30">
        <f t="shared" si="7"/>
        <v>17180</v>
      </c>
      <c r="F46" s="30">
        <f t="shared" si="7"/>
        <v>18610</v>
      </c>
    </row>
    <row r="47" spans="1:6" x14ac:dyDescent="0.2">
      <c r="A47" s="22" t="s">
        <v>171</v>
      </c>
      <c r="B47" s="23"/>
      <c r="C47" s="30">
        <f>C18*10^12</f>
        <v>3700000000000</v>
      </c>
      <c r="D47" s="30">
        <f t="shared" ref="D47:F47" si="8">D18*10^12</f>
        <v>2310000000000</v>
      </c>
      <c r="E47" s="30">
        <f t="shared" si="8"/>
        <v>610000000000</v>
      </c>
      <c r="F47" s="30">
        <f t="shared" si="8"/>
        <v>780000000000</v>
      </c>
    </row>
    <row r="48" spans="1:6" x14ac:dyDescent="0.2">
      <c r="A48" s="22" t="s">
        <v>172</v>
      </c>
      <c r="B48" s="23"/>
      <c r="C48" s="30">
        <f>C19*10^6</f>
        <v>470000</v>
      </c>
      <c r="D48" s="30">
        <f t="shared" ref="D48:F48" si="9">D19*10^6</f>
        <v>400000</v>
      </c>
      <c r="E48" s="30">
        <f t="shared" si="9"/>
        <v>1640000</v>
      </c>
      <c r="F48" s="30">
        <f t="shared" si="9"/>
        <v>460000</v>
      </c>
    </row>
    <row r="49" spans="1:11" x14ac:dyDescent="0.2">
      <c r="A49" s="22" t="s">
        <v>109</v>
      </c>
      <c r="B49" s="23"/>
      <c r="C49" s="34">
        <f>C20/100</f>
        <v>4.5899999999999996E-2</v>
      </c>
      <c r="D49" s="34">
        <f t="shared" ref="D49:F49" si="10">D20/100</f>
        <v>4.6199999999999998E-2</v>
      </c>
      <c r="E49" s="34">
        <f t="shared" si="10"/>
        <v>4.6600000000000003E-2</v>
      </c>
      <c r="F49" s="34">
        <f t="shared" si="10"/>
        <v>4.4699999999999997E-2</v>
      </c>
    </row>
    <row r="50" spans="1:11" x14ac:dyDescent="0.2">
      <c r="A50" s="22" t="s">
        <v>110</v>
      </c>
      <c r="B50" s="23"/>
      <c r="C50" s="2">
        <v>0.03</v>
      </c>
      <c r="D50" s="2">
        <v>0.03</v>
      </c>
      <c r="E50" s="2">
        <v>0.05</v>
      </c>
      <c r="F50" s="2">
        <v>0.03</v>
      </c>
    </row>
    <row r="51" spans="1:11" x14ac:dyDescent="0.2">
      <c r="A51" s="22" t="s">
        <v>111</v>
      </c>
      <c r="B51" s="23"/>
      <c r="C51" s="2">
        <v>15.2</v>
      </c>
      <c r="D51" s="2">
        <v>15.8</v>
      </c>
      <c r="E51" s="2">
        <v>14.36</v>
      </c>
      <c r="F51" s="2">
        <v>13.64</v>
      </c>
    </row>
    <row r="52" spans="1:11" x14ac:dyDescent="0.2">
      <c r="A52" s="25"/>
      <c r="B52" s="25"/>
      <c r="C52" s="39" t="s">
        <v>113</v>
      </c>
      <c r="D52" s="39"/>
      <c r="E52" s="39"/>
      <c r="F52" s="39"/>
    </row>
    <row r="53" spans="1:11" x14ac:dyDescent="0.2">
      <c r="A53" s="22" t="s">
        <v>116</v>
      </c>
      <c r="B53" s="23"/>
      <c r="C53" s="30">
        <f>C24*10^6</f>
        <v>18880000</v>
      </c>
      <c r="D53" s="30">
        <f t="shared" ref="D53:F53" si="11">D24*10^6</f>
        <v>9840000</v>
      </c>
      <c r="E53" s="30">
        <f t="shared" si="11"/>
        <v>5310000</v>
      </c>
      <c r="F53" s="30">
        <f t="shared" si="11"/>
        <v>3720000</v>
      </c>
      <c r="I53" s="35" t="s">
        <v>174</v>
      </c>
      <c r="J53" s="13">
        <f>D56</f>
        <v>3480000000000</v>
      </c>
    </row>
    <row r="54" spans="1:11" x14ac:dyDescent="0.2">
      <c r="A54" s="22" t="s">
        <v>169</v>
      </c>
      <c r="B54" s="23"/>
      <c r="C54" s="30">
        <f>C25*10^6</f>
        <v>650000</v>
      </c>
      <c r="D54" s="30">
        <f t="shared" ref="D54:F54" si="12">D25*10^6</f>
        <v>630000</v>
      </c>
      <c r="E54" s="30">
        <f t="shared" si="12"/>
        <v>630000</v>
      </c>
      <c r="F54" s="30">
        <f t="shared" si="12"/>
        <v>390000</v>
      </c>
      <c r="I54" s="35" t="s">
        <v>173</v>
      </c>
      <c r="J54" s="13">
        <f>E56</f>
        <v>3310000000000</v>
      </c>
    </row>
    <row r="55" spans="1:11" x14ac:dyDescent="0.2">
      <c r="A55" s="22" t="s">
        <v>170</v>
      </c>
      <c r="B55" s="23"/>
      <c r="C55" s="30">
        <f>C26*10^3</f>
        <v>41710</v>
      </c>
      <c r="D55" s="30">
        <f t="shared" ref="D55:F55" si="13">D26*10^3</f>
        <v>41270</v>
      </c>
      <c r="E55" s="30">
        <f t="shared" si="13"/>
        <v>41290</v>
      </c>
      <c r="F55" s="30">
        <f t="shared" si="13"/>
        <v>34350</v>
      </c>
      <c r="I55" s="35" t="s">
        <v>175</v>
      </c>
      <c r="J55">
        <f>44/12</f>
        <v>3.6666666666666665</v>
      </c>
    </row>
    <row r="56" spans="1:11" x14ac:dyDescent="0.2">
      <c r="A56" s="22" t="s">
        <v>171</v>
      </c>
      <c r="B56" s="23"/>
      <c r="C56" s="30">
        <f>C27*10^12</f>
        <v>7560000000000</v>
      </c>
      <c r="D56" s="30">
        <f t="shared" ref="D56:F56" si="14">D27*10^12</f>
        <v>3480000000000</v>
      </c>
      <c r="E56" s="30">
        <f t="shared" si="14"/>
        <v>3310000000000</v>
      </c>
      <c r="F56" s="30">
        <f t="shared" si="14"/>
        <v>770000000000</v>
      </c>
      <c r="I56" s="35" t="s">
        <v>180</v>
      </c>
      <c r="J56" s="13">
        <f>J53/J55</f>
        <v>949090909090.90918</v>
      </c>
    </row>
    <row r="57" spans="1:11" x14ac:dyDescent="0.2">
      <c r="A57" s="22" t="s">
        <v>172</v>
      </c>
      <c r="B57" s="23"/>
      <c r="C57" s="30">
        <f>C10*10^6</f>
        <v>420000</v>
      </c>
      <c r="D57" s="30">
        <f t="shared" ref="D57:F57" si="15">D10*10^6</f>
        <v>370000</v>
      </c>
      <c r="E57" s="30">
        <f t="shared" si="15"/>
        <v>690000</v>
      </c>
      <c r="F57" s="30">
        <f t="shared" si="15"/>
        <v>290000</v>
      </c>
      <c r="I57" s="35" t="s">
        <v>181</v>
      </c>
      <c r="J57" s="13">
        <f>J54/J55</f>
        <v>902727272727.27271</v>
      </c>
    </row>
    <row r="58" spans="1:11" x14ac:dyDescent="0.2">
      <c r="A58" s="22" t="s">
        <v>109</v>
      </c>
      <c r="B58" s="23"/>
      <c r="C58" s="34">
        <f>C29/100</f>
        <v>5.3600000000000002E-2</v>
      </c>
      <c r="D58" s="34">
        <f t="shared" ref="D58:F58" si="16">D29/100</f>
        <v>5.2900000000000003E-2</v>
      </c>
      <c r="E58" s="34">
        <f t="shared" si="16"/>
        <v>5.4199999999999998E-2</v>
      </c>
      <c r="F58" s="34">
        <f t="shared" si="16"/>
        <v>5.4600000000000003E-2</v>
      </c>
      <c r="I58" s="35" t="s">
        <v>176</v>
      </c>
      <c r="J58" s="13">
        <f>AVERAGE('Flow of Funds, 1998-2012'!F74:I74)*10^9</f>
        <v>2308598605189.4263</v>
      </c>
      <c r="K58" t="s">
        <v>177</v>
      </c>
    </row>
    <row r="59" spans="1:11" x14ac:dyDescent="0.2">
      <c r="A59" s="22" t="s">
        <v>110</v>
      </c>
      <c r="B59" s="23"/>
      <c r="C59" s="2">
        <v>5.33</v>
      </c>
      <c r="D59" s="2">
        <v>4.83</v>
      </c>
      <c r="E59" s="2">
        <v>6</v>
      </c>
      <c r="F59" s="2">
        <v>5.7</v>
      </c>
      <c r="I59" s="35" t="s">
        <v>178</v>
      </c>
      <c r="J59" s="37">
        <f>J56/J58</f>
        <v>0.41111127198876302</v>
      </c>
    </row>
    <row r="60" spans="1:11" x14ac:dyDescent="0.2">
      <c r="A60" s="22" t="s">
        <v>111</v>
      </c>
      <c r="B60" s="23"/>
      <c r="C60" s="2">
        <v>14.83</v>
      </c>
      <c r="D60" s="2">
        <v>15.88</v>
      </c>
      <c r="E60" s="2">
        <v>13.81</v>
      </c>
      <c r="F60" s="2">
        <v>13.5</v>
      </c>
      <c r="I60" s="35" t="s">
        <v>179</v>
      </c>
      <c r="J60" s="33">
        <f>J57/J58</f>
        <v>0.39102825008126596</v>
      </c>
    </row>
    <row r="61" spans="1:11" x14ac:dyDescent="0.2">
      <c r="I61" s="35" t="s">
        <v>183</v>
      </c>
      <c r="J61" s="13">
        <f>F57</f>
        <v>290000</v>
      </c>
    </row>
    <row r="62" spans="1:11" x14ac:dyDescent="0.2">
      <c r="I62" s="35" t="s">
        <v>182</v>
      </c>
      <c r="J62" s="13">
        <f>F56/F53</f>
        <v>206989.24731182796</v>
      </c>
    </row>
    <row r="64" spans="1:11" x14ac:dyDescent="0.2">
      <c r="F64" s="13"/>
    </row>
  </sheetData>
  <mergeCells count="7">
    <mergeCell ref="A1:F1"/>
    <mergeCell ref="C5:F5"/>
    <mergeCell ref="C14:F14"/>
    <mergeCell ref="C23:F23"/>
    <mergeCell ref="C43:F43"/>
    <mergeCell ref="C52:F52"/>
    <mergeCell ref="C34:F34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1"/>
  <sheetViews>
    <sheetView workbookViewId="0">
      <selection sqref="A1:XFD11"/>
    </sheetView>
  </sheetViews>
  <sheetFormatPr baseColWidth="10" defaultColWidth="18" defaultRowHeight="16" x14ac:dyDescent="0.2"/>
  <cols>
    <col min="1" max="1" width="22.33203125" customWidth="1"/>
  </cols>
  <sheetData>
    <row r="1" spans="1:15" x14ac:dyDescent="0.2">
      <c r="A1" s="9" t="s">
        <v>55</v>
      </c>
      <c r="B1" s="9">
        <v>2004</v>
      </c>
      <c r="C1" s="9">
        <v>2005</v>
      </c>
      <c r="D1" s="9">
        <v>2006</v>
      </c>
      <c r="E1" s="9">
        <v>2007</v>
      </c>
      <c r="F1" s="9">
        <v>2008</v>
      </c>
      <c r="G1" s="9">
        <v>2009</v>
      </c>
      <c r="H1" s="9">
        <v>2010</v>
      </c>
      <c r="I1" s="9">
        <v>2011</v>
      </c>
      <c r="J1" s="9">
        <v>2012</v>
      </c>
      <c r="K1" s="9">
        <v>2013</v>
      </c>
      <c r="L1" s="9">
        <v>2014</v>
      </c>
      <c r="M1" s="9">
        <v>2015</v>
      </c>
      <c r="N1" s="9">
        <v>2016</v>
      </c>
    </row>
    <row r="2" spans="1:15" x14ac:dyDescent="0.2">
      <c r="A2" s="9" t="s">
        <v>56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5" x14ac:dyDescent="0.2">
      <c r="A3" s="10" t="s">
        <v>52</v>
      </c>
      <c r="B3" s="11">
        <f>B17*251</f>
        <v>2051247300000</v>
      </c>
      <c r="C3" s="11">
        <f>C17*251</f>
        <v>2526942500000</v>
      </c>
      <c r="D3" s="11">
        <v>2841565000000</v>
      </c>
      <c r="E3" s="11">
        <v>3156765000000</v>
      </c>
      <c r="F3" s="11">
        <v>2722682000000</v>
      </c>
      <c r="G3" s="11">
        <v>2029305000000</v>
      </c>
      <c r="H3" s="11">
        <v>1956906000000</v>
      </c>
      <c r="I3" s="11">
        <v>1670951000000</v>
      </c>
      <c r="J3" s="11">
        <v>1619769000000</v>
      </c>
      <c r="K3" s="11">
        <v>1526057000000</v>
      </c>
      <c r="L3" s="11">
        <v>1363373000000</v>
      </c>
      <c r="M3" s="11">
        <v>1213056000000</v>
      </c>
      <c r="N3" s="11">
        <v>1578495000000</v>
      </c>
    </row>
    <row r="4" spans="1:15" x14ac:dyDescent="0.2">
      <c r="A4" s="10" t="s">
        <v>53</v>
      </c>
      <c r="B4" s="11">
        <f t="shared" ref="B4:C5" si="0">B18*251</f>
        <v>1548544500000</v>
      </c>
      <c r="C4" s="11">
        <f t="shared" si="0"/>
        <v>1976700300000</v>
      </c>
      <c r="D4" s="11">
        <v>2294673000000</v>
      </c>
      <c r="E4" s="11">
        <v>2519994000000</v>
      </c>
      <c r="F4" s="11">
        <v>1970188000000</v>
      </c>
      <c r="G4" s="11">
        <v>1186922000000</v>
      </c>
      <c r="H4" s="11">
        <v>1220495000000</v>
      </c>
      <c r="I4" s="11">
        <v>1088513000000</v>
      </c>
      <c r="J4" s="11">
        <v>975487000000</v>
      </c>
      <c r="K4" s="11">
        <v>972901000000</v>
      </c>
      <c r="L4" s="11">
        <v>835255000000</v>
      </c>
      <c r="M4" s="11">
        <v>635899000000</v>
      </c>
      <c r="N4" s="11">
        <v>947081000000</v>
      </c>
    </row>
    <row r="5" spans="1:15" x14ac:dyDescent="0.2">
      <c r="A5" s="10" t="s">
        <v>54</v>
      </c>
      <c r="B5" s="11">
        <f t="shared" si="0"/>
        <v>457924400000</v>
      </c>
      <c r="C5" s="11">
        <f t="shared" si="0"/>
        <v>609503300000</v>
      </c>
      <c r="D5" s="11">
        <v>944854000000</v>
      </c>
      <c r="E5" s="11">
        <v>1008370000000</v>
      </c>
      <c r="F5" s="11">
        <v>821550000000</v>
      </c>
      <c r="G5" s="11">
        <v>574974000000</v>
      </c>
      <c r="H5" s="11">
        <v>572330000000</v>
      </c>
      <c r="I5" s="11">
        <v>526302000000</v>
      </c>
      <c r="J5" s="11">
        <v>630547000000</v>
      </c>
      <c r="K5" s="11">
        <v>620859000000</v>
      </c>
      <c r="L5" s="11">
        <v>574636000000</v>
      </c>
      <c r="M5" s="11">
        <v>569243000000</v>
      </c>
      <c r="N5" s="11">
        <v>609524000000</v>
      </c>
    </row>
    <row r="6" spans="1:15" x14ac:dyDescent="0.2">
      <c r="A6" s="9" t="s">
        <v>57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x14ac:dyDescent="0.2">
      <c r="A7" s="10" t="s">
        <v>52</v>
      </c>
      <c r="B7" s="4">
        <f>B22*251</f>
        <v>4041853</v>
      </c>
      <c r="C7" s="4">
        <f>C22*251</f>
        <v>3874185</v>
      </c>
      <c r="D7" s="8">
        <v>3966302</v>
      </c>
      <c r="E7" s="8">
        <v>4301892</v>
      </c>
      <c r="F7" s="8">
        <v>5536905</v>
      </c>
      <c r="G7" s="8">
        <v>5487373</v>
      </c>
      <c r="H7" s="8">
        <v>5248746</v>
      </c>
      <c r="I7" s="8">
        <v>4956486</v>
      </c>
      <c r="J7" s="8">
        <v>4144746</v>
      </c>
      <c r="K7" s="8">
        <v>4588112</v>
      </c>
      <c r="L7" s="8">
        <v>3747662</v>
      </c>
      <c r="M7" s="8">
        <v>3841980</v>
      </c>
      <c r="N7" s="8">
        <v>3796034</v>
      </c>
    </row>
    <row r="8" spans="1:15" x14ac:dyDescent="0.2">
      <c r="A8" s="10" t="s">
        <v>53</v>
      </c>
      <c r="B8" s="4">
        <f t="shared" ref="B8:C9" si="1">B23*251</f>
        <v>1763024</v>
      </c>
      <c r="C8" s="4">
        <f t="shared" si="1"/>
        <v>1923162</v>
      </c>
      <c r="D8" s="8">
        <v>2156843</v>
      </c>
      <c r="E8" s="8">
        <v>2334528</v>
      </c>
      <c r="F8" s="8">
        <v>2327094</v>
      </c>
      <c r="G8" s="8">
        <v>1923360</v>
      </c>
      <c r="H8" s="8">
        <v>2093782</v>
      </c>
      <c r="I8" s="8">
        <v>2161669</v>
      </c>
      <c r="J8" s="8">
        <v>2129831</v>
      </c>
      <c r="K8" s="8">
        <v>2417722</v>
      </c>
      <c r="L8" s="8">
        <v>1979712</v>
      </c>
      <c r="M8" s="8">
        <v>1919306</v>
      </c>
      <c r="N8" s="8">
        <v>1917332</v>
      </c>
    </row>
    <row r="9" spans="1:15" x14ac:dyDescent="0.2">
      <c r="A9" s="10" t="s">
        <v>54</v>
      </c>
      <c r="B9" s="4">
        <f t="shared" si="1"/>
        <v>1589834</v>
      </c>
      <c r="C9" s="4">
        <f t="shared" si="1"/>
        <v>1696007</v>
      </c>
      <c r="D9" s="8">
        <v>2344842</v>
      </c>
      <c r="E9" s="8">
        <v>2545704</v>
      </c>
      <c r="F9" s="8">
        <v>3112659</v>
      </c>
      <c r="G9" s="8">
        <v>2948878</v>
      </c>
      <c r="H9" s="8">
        <v>3154791</v>
      </c>
      <c r="I9" s="8">
        <v>3278640</v>
      </c>
      <c r="J9" s="8">
        <v>3438488</v>
      </c>
      <c r="K9" s="8">
        <v>3625497</v>
      </c>
      <c r="L9" s="8">
        <v>3183151</v>
      </c>
      <c r="M9" s="8">
        <v>3495924</v>
      </c>
      <c r="N9" s="8">
        <v>3644690</v>
      </c>
    </row>
    <row r="10" spans="1:15" x14ac:dyDescent="0.2">
      <c r="A10" s="10" t="s">
        <v>19</v>
      </c>
      <c r="B10" s="4">
        <f>SUM(B7:B9)</f>
        <v>7394711</v>
      </c>
      <c r="C10" s="4">
        <f t="shared" ref="C10:N10" si="2">SUM(C7:C9)</f>
        <v>7493354</v>
      </c>
      <c r="D10" s="4">
        <f t="shared" si="2"/>
        <v>8467987</v>
      </c>
      <c r="E10" s="4">
        <f t="shared" si="2"/>
        <v>9182124</v>
      </c>
      <c r="F10" s="4">
        <f t="shared" si="2"/>
        <v>10976658</v>
      </c>
      <c r="G10" s="4">
        <f t="shared" si="2"/>
        <v>10359611</v>
      </c>
      <c r="H10" s="4">
        <f t="shared" si="2"/>
        <v>10497319</v>
      </c>
      <c r="I10" s="4">
        <f t="shared" si="2"/>
        <v>10396795</v>
      </c>
      <c r="J10" s="4">
        <f t="shared" si="2"/>
        <v>9713065</v>
      </c>
      <c r="K10" s="4">
        <f t="shared" si="2"/>
        <v>10631331</v>
      </c>
      <c r="L10" s="4">
        <f t="shared" si="2"/>
        <v>8910525</v>
      </c>
      <c r="M10" s="4">
        <f t="shared" si="2"/>
        <v>9257210</v>
      </c>
      <c r="N10" s="4">
        <f t="shared" si="2"/>
        <v>9358056</v>
      </c>
    </row>
    <row r="11" spans="1:15" x14ac:dyDescent="0.2">
      <c r="A11" s="9" t="s">
        <v>66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5" x14ac:dyDescent="0.2">
      <c r="A12" s="10" t="s">
        <v>52</v>
      </c>
      <c r="B12" s="12">
        <f>B3/B7</f>
        <v>507501.70775631868</v>
      </c>
      <c r="C12" s="12">
        <f>C3/C7</f>
        <v>652251.37674117263</v>
      </c>
      <c r="D12" s="12">
        <f>D3/D7</f>
        <v>716426.78747104981</v>
      </c>
      <c r="E12" s="12">
        <f t="shared" ref="E12:N12" si="3">E3/E7</f>
        <v>733808.51960021316</v>
      </c>
      <c r="F12" s="12">
        <f t="shared" si="3"/>
        <v>491733.5587300125</v>
      </c>
      <c r="G12" s="12">
        <f t="shared" si="3"/>
        <v>369813.57017283136</v>
      </c>
      <c r="H12" s="12">
        <f t="shared" si="3"/>
        <v>372833.05383800244</v>
      </c>
      <c r="I12" s="12">
        <f t="shared" si="3"/>
        <v>337124.12382482266</v>
      </c>
      <c r="J12" s="12">
        <f t="shared" si="3"/>
        <v>390800.54604069825</v>
      </c>
      <c r="K12" s="12">
        <f t="shared" si="3"/>
        <v>332611.10452403949</v>
      </c>
      <c r="L12" s="12">
        <f t="shared" si="3"/>
        <v>363792.94610880065</v>
      </c>
      <c r="M12" s="12">
        <f t="shared" si="3"/>
        <v>315737.1980072775</v>
      </c>
      <c r="N12" s="12">
        <f t="shared" si="3"/>
        <v>415827.41355846653</v>
      </c>
    </row>
    <row r="13" spans="1:15" x14ac:dyDescent="0.2">
      <c r="A13" s="10" t="s">
        <v>53</v>
      </c>
      <c r="B13" s="12">
        <f t="shared" ref="B13:C13" si="4">B4/B8</f>
        <v>878345.67198177672</v>
      </c>
      <c r="C13" s="12">
        <f t="shared" si="4"/>
        <v>1027838.6844166014</v>
      </c>
      <c r="D13" s="12">
        <f t="shared" ref="D13:N13" si="5">D4/D8</f>
        <v>1063903.5850082736</v>
      </c>
      <c r="E13" s="12">
        <f t="shared" si="5"/>
        <v>1079444.7528579652</v>
      </c>
      <c r="F13" s="12">
        <f t="shared" si="5"/>
        <v>846630.17480170552</v>
      </c>
      <c r="G13" s="12">
        <f t="shared" si="5"/>
        <v>617108.60161384242</v>
      </c>
      <c r="H13" s="12">
        <f t="shared" si="5"/>
        <v>582914.07605949428</v>
      </c>
      <c r="I13" s="12">
        <f t="shared" si="5"/>
        <v>503552.11644335929</v>
      </c>
      <c r="J13" s="12">
        <f t="shared" si="5"/>
        <v>458011.45724707737</v>
      </c>
      <c r="K13" s="12">
        <f t="shared" si="5"/>
        <v>402403.99847459717</v>
      </c>
      <c r="L13" s="12">
        <f t="shared" si="5"/>
        <v>421907.32793456828</v>
      </c>
      <c r="M13" s="12">
        <f t="shared" si="5"/>
        <v>331317.15317932627</v>
      </c>
      <c r="N13" s="12">
        <f t="shared" si="5"/>
        <v>493957.74962291348</v>
      </c>
    </row>
    <row r="14" spans="1:15" x14ac:dyDescent="0.2">
      <c r="A14" s="10" t="s">
        <v>54</v>
      </c>
      <c r="B14" s="12">
        <f t="shared" ref="B14:C14" si="6">B5/B9</f>
        <v>288032.83864856331</v>
      </c>
      <c r="C14" s="12">
        <f t="shared" si="6"/>
        <v>359375.46248335059</v>
      </c>
      <c r="D14" s="12">
        <f t="shared" ref="D14:N14" si="7">D5/D9</f>
        <v>402949.96421933762</v>
      </c>
      <c r="E14" s="12">
        <f t="shared" si="7"/>
        <v>396106.53870206437</v>
      </c>
      <c r="F14" s="12">
        <f t="shared" si="7"/>
        <v>263938.32411452715</v>
      </c>
      <c r="G14" s="12">
        <f t="shared" si="7"/>
        <v>194980.59940085688</v>
      </c>
      <c r="H14" s="12">
        <f t="shared" si="7"/>
        <v>181416.13818474821</v>
      </c>
      <c r="I14" s="12">
        <f t="shared" si="7"/>
        <v>160524.48576238929</v>
      </c>
      <c r="J14" s="12">
        <f t="shared" si="7"/>
        <v>183379.14804414034</v>
      </c>
      <c r="K14" s="12">
        <f t="shared" si="7"/>
        <v>171247.96958872123</v>
      </c>
      <c r="L14" s="12">
        <f t="shared" si="7"/>
        <v>180524.26667789245</v>
      </c>
      <c r="M14" s="12">
        <f t="shared" si="7"/>
        <v>162830.48487324096</v>
      </c>
      <c r="N14" s="12">
        <f t="shared" si="7"/>
        <v>167236.17097750425</v>
      </c>
      <c r="O14" s="15">
        <f>AVERAGE( B14:N14)</f>
        <v>239426.33782133361</v>
      </c>
    </row>
    <row r="15" spans="1:15" x14ac:dyDescent="0.2">
      <c r="A15" s="10" t="s">
        <v>58</v>
      </c>
      <c r="B15" s="12">
        <f>SUM(B3:B5)/SUM(B7:B9)</f>
        <v>548732.22225993685</v>
      </c>
      <c r="C15" s="12">
        <f>SUM(C3:C5)/SUM(C7:C9)</f>
        <v>682357.47303543915</v>
      </c>
      <c r="D15" s="12">
        <f>SUM(D3:D5)/SUM(D7:D9)</f>
        <v>718127.22433324473</v>
      </c>
      <c r="E15" s="12">
        <f t="shared" ref="E15:N15" si="8">SUM(E3:E5)/SUM(E7:E9)</f>
        <v>728059.1070214255</v>
      </c>
      <c r="F15" s="12">
        <f t="shared" si="8"/>
        <v>502376.95298514358</v>
      </c>
      <c r="G15" s="12">
        <f t="shared" si="8"/>
        <v>365959.78362508013</v>
      </c>
      <c r="H15" s="12">
        <f t="shared" si="8"/>
        <v>357208.445318276</v>
      </c>
      <c r="I15" s="12">
        <f t="shared" si="8"/>
        <v>316036.43238132523</v>
      </c>
      <c r="J15" s="12">
        <f t="shared" si="8"/>
        <v>332109.68937199534</v>
      </c>
      <c r="K15" s="12">
        <f t="shared" si="8"/>
        <v>293454.97755643202</v>
      </c>
      <c r="L15" s="12">
        <f t="shared" si="8"/>
        <v>311234.63544516178</v>
      </c>
      <c r="M15" s="12">
        <f t="shared" si="8"/>
        <v>261223.19791816323</v>
      </c>
      <c r="N15" s="12">
        <f t="shared" si="8"/>
        <v>335016.16147627245</v>
      </c>
    </row>
    <row r="16" spans="1:15" x14ac:dyDescent="0.2">
      <c r="A16" s="9" t="s">
        <v>59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">
      <c r="A17" s="10" t="s">
        <v>52</v>
      </c>
      <c r="B17" s="11">
        <v>8172300000</v>
      </c>
      <c r="C17" s="11">
        <v>10067500000</v>
      </c>
      <c r="D17" s="11">
        <v>11321000000</v>
      </c>
      <c r="E17" s="11">
        <v>12536800000</v>
      </c>
      <c r="F17" s="11">
        <v>10761600000</v>
      </c>
      <c r="G17" s="11">
        <v>8052800000</v>
      </c>
      <c r="H17" s="11">
        <v>7765500000</v>
      </c>
      <c r="I17" s="11">
        <v>6630760000</v>
      </c>
      <c r="J17" s="11">
        <v>6427700000</v>
      </c>
      <c r="K17" s="11">
        <v>6055800000</v>
      </c>
      <c r="L17" s="11">
        <v>5410200000</v>
      </c>
      <c r="M17" s="11">
        <v>4813700000</v>
      </c>
      <c r="N17" s="11">
        <v>6263900000</v>
      </c>
    </row>
    <row r="18" spans="1:14" x14ac:dyDescent="0.2">
      <c r="A18" s="10" t="s">
        <v>53</v>
      </c>
      <c r="B18" s="11">
        <v>6169500000</v>
      </c>
      <c r="C18" s="11">
        <v>7875300000</v>
      </c>
      <c r="D18" s="11">
        <v>9142100000</v>
      </c>
      <c r="E18" s="11">
        <v>10000000000</v>
      </c>
      <c r="F18" s="11">
        <v>7787300000</v>
      </c>
      <c r="G18" s="11">
        <v>4710300000</v>
      </c>
      <c r="H18" s="11">
        <v>4843200000</v>
      </c>
      <c r="I18" s="11">
        <v>4319500000</v>
      </c>
      <c r="J18" s="11">
        <v>3871000000</v>
      </c>
      <c r="K18" s="11">
        <v>3860700000</v>
      </c>
      <c r="L18" s="11">
        <v>3314500000</v>
      </c>
      <c r="M18" s="11">
        <v>2523400000</v>
      </c>
      <c r="N18" s="11">
        <v>3758300000</v>
      </c>
    </row>
    <row r="19" spans="1:14" x14ac:dyDescent="0.2">
      <c r="A19" s="10" t="s">
        <v>54</v>
      </c>
      <c r="B19" s="11">
        <v>1824400000</v>
      </c>
      <c r="C19" s="11">
        <v>2428300000</v>
      </c>
      <c r="D19" s="11">
        <v>3764400000</v>
      </c>
      <c r="E19" s="11">
        <v>4001500000</v>
      </c>
      <c r="F19" s="11">
        <v>3247200000</v>
      </c>
      <c r="G19" s="11">
        <v>2281600000</v>
      </c>
      <c r="H19" s="11">
        <v>2271200000</v>
      </c>
      <c r="I19" s="11">
        <v>2088500000</v>
      </c>
      <c r="J19" s="11">
        <v>2502200000</v>
      </c>
      <c r="K19" s="11">
        <v>2463700000</v>
      </c>
      <c r="L19" s="11">
        <v>2280300000</v>
      </c>
      <c r="M19" s="11">
        <v>2258900000</v>
      </c>
      <c r="N19" s="11">
        <v>2418700000</v>
      </c>
    </row>
    <row r="20" spans="1:14" x14ac:dyDescent="0.2">
      <c r="A20" s="10" t="s">
        <v>19</v>
      </c>
      <c r="B20" s="11">
        <f>SUM(B17:B19)</f>
        <v>16166200000</v>
      </c>
      <c r="C20" s="11">
        <f t="shared" ref="C20:N20" si="9">SUM(C17:C19)</f>
        <v>20371100000</v>
      </c>
      <c r="D20" s="11">
        <f t="shared" si="9"/>
        <v>24227500000</v>
      </c>
      <c r="E20" s="11">
        <f t="shared" si="9"/>
        <v>26538300000</v>
      </c>
      <c r="F20" s="11">
        <f t="shared" si="9"/>
        <v>21796100000</v>
      </c>
      <c r="G20" s="11">
        <f t="shared" si="9"/>
        <v>15044700000</v>
      </c>
      <c r="H20" s="11">
        <f t="shared" si="9"/>
        <v>14879900000</v>
      </c>
      <c r="I20" s="11">
        <f t="shared" si="9"/>
        <v>13038760000</v>
      </c>
      <c r="J20" s="11">
        <f t="shared" si="9"/>
        <v>12800900000</v>
      </c>
      <c r="K20" s="11">
        <f t="shared" si="9"/>
        <v>12380200000</v>
      </c>
      <c r="L20" s="11">
        <f t="shared" si="9"/>
        <v>11005000000</v>
      </c>
      <c r="M20" s="11">
        <f t="shared" si="9"/>
        <v>9596000000</v>
      </c>
      <c r="N20" s="11">
        <f t="shared" si="9"/>
        <v>12440900000</v>
      </c>
    </row>
    <row r="21" spans="1:14" x14ac:dyDescent="0.2">
      <c r="A21" s="9" t="s">
        <v>60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">
      <c r="A22" s="10" t="s">
        <v>52</v>
      </c>
      <c r="B22" s="8">
        <v>16103</v>
      </c>
      <c r="C22" s="8">
        <v>15435</v>
      </c>
      <c r="D22" s="8">
        <v>15802</v>
      </c>
      <c r="E22" s="8">
        <v>17071</v>
      </c>
      <c r="F22" s="8">
        <v>21885</v>
      </c>
      <c r="G22" s="8">
        <v>21775</v>
      </c>
      <c r="H22" s="8">
        <v>20828</v>
      </c>
      <c r="I22" s="8">
        <v>19669</v>
      </c>
      <c r="J22" s="8">
        <v>16447</v>
      </c>
      <c r="K22" s="8">
        <v>18207</v>
      </c>
      <c r="L22" s="8">
        <v>14872</v>
      </c>
      <c r="M22" s="8">
        <v>15246</v>
      </c>
      <c r="N22" s="8">
        <v>15064</v>
      </c>
    </row>
    <row r="23" spans="1:14" x14ac:dyDescent="0.2">
      <c r="A23" s="10" t="s">
        <v>53</v>
      </c>
      <c r="B23" s="8">
        <v>7024</v>
      </c>
      <c r="C23" s="8">
        <v>7662</v>
      </c>
      <c r="D23" s="8">
        <v>8593</v>
      </c>
      <c r="E23" s="8">
        <v>9264</v>
      </c>
      <c r="F23" s="8">
        <v>9198</v>
      </c>
      <c r="G23" s="8">
        <v>7632</v>
      </c>
      <c r="H23" s="8">
        <v>8309</v>
      </c>
      <c r="I23" s="8">
        <v>8578</v>
      </c>
      <c r="J23" s="8">
        <v>8452</v>
      </c>
      <c r="K23" s="8">
        <v>9594</v>
      </c>
      <c r="L23" s="8">
        <v>7856</v>
      </c>
      <c r="M23" s="8">
        <v>7616</v>
      </c>
      <c r="N23" s="8">
        <v>7608</v>
      </c>
    </row>
    <row r="24" spans="1:14" x14ac:dyDescent="0.2">
      <c r="A24" s="10" t="s">
        <v>54</v>
      </c>
      <c r="B24" s="8">
        <v>6334</v>
      </c>
      <c r="C24" s="8">
        <v>6757</v>
      </c>
      <c r="D24" s="8">
        <v>9342</v>
      </c>
      <c r="E24" s="8">
        <v>10102</v>
      </c>
      <c r="F24" s="8">
        <v>12303</v>
      </c>
      <c r="G24" s="8">
        <v>11703</v>
      </c>
      <c r="H24" s="8">
        <v>12519</v>
      </c>
      <c r="I24" s="8">
        <v>13010</v>
      </c>
      <c r="J24" s="8">
        <v>13645</v>
      </c>
      <c r="K24" s="8">
        <v>14387</v>
      </c>
      <c r="L24" s="8">
        <v>12632</v>
      </c>
      <c r="M24" s="8">
        <v>13873</v>
      </c>
      <c r="N24" s="8">
        <v>14463</v>
      </c>
    </row>
    <row r="25" spans="1:14" x14ac:dyDescent="0.2">
      <c r="A25" s="9" t="s">
        <v>67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">
      <c r="A26" s="10" t="s">
        <v>52</v>
      </c>
      <c r="B26" s="12">
        <f>B17/B22</f>
        <v>507501.70775631868</v>
      </c>
      <c r="C26" s="12">
        <f t="shared" ref="C26:N26" si="10">C17/C22</f>
        <v>652251.37674117263</v>
      </c>
      <c r="D26" s="12">
        <f t="shared" si="10"/>
        <v>716428.30021516269</v>
      </c>
      <c r="E26" s="12">
        <f t="shared" si="10"/>
        <v>734391.6583679925</v>
      </c>
      <c r="F26" s="12">
        <f t="shared" si="10"/>
        <v>491734.06442769017</v>
      </c>
      <c r="G26" s="12">
        <f t="shared" si="10"/>
        <v>369818.59931113664</v>
      </c>
      <c r="H26" s="12">
        <f t="shared" si="10"/>
        <v>372839.44689840596</v>
      </c>
      <c r="I26" s="12">
        <f t="shared" si="10"/>
        <v>337117.29116884439</v>
      </c>
      <c r="J26" s="12">
        <f t="shared" si="10"/>
        <v>390812.9142092783</v>
      </c>
      <c r="K26" s="12">
        <f t="shared" si="10"/>
        <v>332608.33745262813</v>
      </c>
      <c r="L26" s="12">
        <f t="shared" si="10"/>
        <v>363784.29263044649</v>
      </c>
      <c r="M26" s="12">
        <f t="shared" si="10"/>
        <v>315735.27482618392</v>
      </c>
      <c r="N26" s="12">
        <f t="shared" si="10"/>
        <v>415819.17153478489</v>
      </c>
    </row>
    <row r="27" spans="1:14" x14ac:dyDescent="0.2">
      <c r="A27" s="10" t="s">
        <v>53</v>
      </c>
      <c r="B27" s="12">
        <f t="shared" ref="B27:N27" si="11">B18/B23</f>
        <v>878345.67198177672</v>
      </c>
      <c r="C27" s="12">
        <f t="shared" si="11"/>
        <v>1027838.6844166014</v>
      </c>
      <c r="D27" s="12">
        <f t="shared" si="11"/>
        <v>1063900.8495286861</v>
      </c>
      <c r="E27" s="12">
        <f t="shared" si="11"/>
        <v>1079447.322970639</v>
      </c>
      <c r="F27" s="12">
        <f t="shared" si="11"/>
        <v>846629.7021091542</v>
      </c>
      <c r="G27" s="12">
        <f t="shared" si="11"/>
        <v>617177.67295597482</v>
      </c>
      <c r="H27" s="12">
        <f t="shared" si="11"/>
        <v>582886.02719942236</v>
      </c>
      <c r="I27" s="12">
        <f t="shared" si="11"/>
        <v>503555.60736768477</v>
      </c>
      <c r="J27" s="12">
        <f t="shared" si="11"/>
        <v>457998.10695693328</v>
      </c>
      <c r="K27" s="12">
        <f t="shared" si="11"/>
        <v>402407.75484677922</v>
      </c>
      <c r="L27" s="12">
        <f t="shared" si="11"/>
        <v>421906.82281059062</v>
      </c>
      <c r="M27" s="12">
        <f t="shared" si="11"/>
        <v>331328.78151260503</v>
      </c>
      <c r="N27" s="12">
        <f t="shared" si="11"/>
        <v>493993.16508937959</v>
      </c>
    </row>
    <row r="28" spans="1:14" x14ac:dyDescent="0.2">
      <c r="A28" s="10" t="s">
        <v>54</v>
      </c>
      <c r="B28" s="12">
        <f t="shared" ref="B28:N28" si="12">B19/B24</f>
        <v>288032.83864856331</v>
      </c>
      <c r="C28" s="12">
        <f t="shared" si="12"/>
        <v>359375.46248335059</v>
      </c>
      <c r="D28" s="12">
        <f t="shared" si="12"/>
        <v>402954.3994861914</v>
      </c>
      <c r="E28" s="12">
        <f t="shared" si="12"/>
        <v>396109.6812512374</v>
      </c>
      <c r="F28" s="12">
        <f t="shared" si="12"/>
        <v>263935.62545720558</v>
      </c>
      <c r="G28" s="12">
        <f t="shared" si="12"/>
        <v>194958.5576347945</v>
      </c>
      <c r="H28" s="12">
        <f t="shared" si="12"/>
        <v>181420.24123332536</v>
      </c>
      <c r="I28" s="12">
        <f t="shared" si="12"/>
        <v>160530.36126056878</v>
      </c>
      <c r="J28" s="12">
        <f t="shared" si="12"/>
        <v>183378.52693294248</v>
      </c>
      <c r="K28" s="12">
        <f t="shared" si="12"/>
        <v>171244.87384444289</v>
      </c>
      <c r="L28" s="12">
        <f t="shared" si="12"/>
        <v>180517.73274224193</v>
      </c>
      <c r="M28" s="12">
        <f t="shared" si="12"/>
        <v>162827.07417285375</v>
      </c>
      <c r="N28" s="12">
        <f t="shared" si="12"/>
        <v>167233.63064371154</v>
      </c>
    </row>
    <row r="29" spans="1:14" x14ac:dyDescent="0.2">
      <c r="A29" s="10" t="s">
        <v>58</v>
      </c>
      <c r="B29" s="12">
        <f>SUM(B17:B19)/SUM(B22:B24)</f>
        <v>548732.22225993685</v>
      </c>
      <c r="C29" s="12">
        <f t="shared" ref="C29:N29" si="13">SUM(C17:C19)/SUM(C22:C24)</f>
        <v>682357.47303543915</v>
      </c>
      <c r="D29" s="12">
        <f t="shared" si="13"/>
        <v>718128.46429735899</v>
      </c>
      <c r="E29" s="12">
        <f t="shared" si="13"/>
        <v>728333.83648489171</v>
      </c>
      <c r="F29" s="12">
        <f t="shared" si="13"/>
        <v>502376.34259899508</v>
      </c>
      <c r="G29" s="12">
        <f t="shared" si="13"/>
        <v>365962.05302846024</v>
      </c>
      <c r="H29" s="12">
        <f t="shared" si="13"/>
        <v>357209.04551565199</v>
      </c>
      <c r="I29" s="12">
        <f t="shared" si="13"/>
        <v>316037.52090554329</v>
      </c>
      <c r="J29" s="12">
        <f t="shared" si="13"/>
        <v>332111.35325861356</v>
      </c>
      <c r="K29" s="12">
        <f t="shared" si="13"/>
        <v>293453.11462975253</v>
      </c>
      <c r="L29" s="12">
        <f t="shared" si="13"/>
        <v>311227.37556561088</v>
      </c>
      <c r="M29" s="12">
        <f>SUM(M17:M19)/SUM(M22:M24)</f>
        <v>261222.26759221451</v>
      </c>
      <c r="N29" s="12">
        <f t="shared" si="13"/>
        <v>335018.17692204122</v>
      </c>
    </row>
    <row r="30" spans="1:14" x14ac:dyDescent="0.2">
      <c r="A30" s="10" t="s">
        <v>69</v>
      </c>
      <c r="B30" s="5">
        <f>B28/B26</f>
        <v>0.56755048159732457</v>
      </c>
      <c r="C30" s="5">
        <f t="shared" ref="C30:N30" si="14">C28/C26</f>
        <v>0.55097693205170273</v>
      </c>
      <c r="D30" s="5">
        <f t="shared" si="14"/>
        <v>0.56244902576457878</v>
      </c>
      <c r="E30" s="5">
        <f t="shared" si="14"/>
        <v>0.53937116079381286</v>
      </c>
      <c r="F30" s="5">
        <f t="shared" si="14"/>
        <v>0.53674464421005652</v>
      </c>
      <c r="G30" s="5">
        <f t="shared" si="14"/>
        <v>0.52717347910014534</v>
      </c>
      <c r="H30" s="5">
        <f t="shared" si="14"/>
        <v>0.48659079060043797</v>
      </c>
      <c r="I30" s="5">
        <f t="shared" si="14"/>
        <v>0.4761854863747334</v>
      </c>
      <c r="J30" s="5">
        <f t="shared" si="14"/>
        <v>0.46922330420929803</v>
      </c>
      <c r="K30" s="5">
        <f t="shared" si="14"/>
        <v>0.51485442354202116</v>
      </c>
      <c r="L30" s="5">
        <f t="shared" si="14"/>
        <v>0.49622189962341906</v>
      </c>
      <c r="M30" s="5">
        <f t="shared" si="14"/>
        <v>0.51570757895991204</v>
      </c>
      <c r="N30" s="5">
        <f t="shared" si="14"/>
        <v>0.40217874040404072</v>
      </c>
    </row>
    <row r="31" spans="1:14" x14ac:dyDescent="0.2">
      <c r="A31" s="10" t="s">
        <v>70</v>
      </c>
      <c r="B31" s="5">
        <f>B28/B27</f>
        <v>0.32792651895088887</v>
      </c>
      <c r="C31" s="5">
        <f t="shared" ref="C31:N31" si="15">C28/C27</f>
        <v>0.34964189218790803</v>
      </c>
      <c r="D31" s="5">
        <f t="shared" si="15"/>
        <v>0.37875183544096463</v>
      </c>
      <c r="E31" s="5">
        <f t="shared" si="15"/>
        <v>0.36695600871114636</v>
      </c>
      <c r="F31" s="5">
        <f t="shared" si="15"/>
        <v>0.31174860130666299</v>
      </c>
      <c r="G31" s="5">
        <f t="shared" si="15"/>
        <v>0.3158872496165322</v>
      </c>
      <c r="H31" s="5">
        <f t="shared" si="15"/>
        <v>0.31124479360912211</v>
      </c>
      <c r="I31" s="5">
        <f t="shared" si="15"/>
        <v>0.31879371197896955</v>
      </c>
      <c r="J31" s="5">
        <f t="shared" si="15"/>
        <v>0.40039145172751994</v>
      </c>
      <c r="K31" s="5">
        <f t="shared" si="15"/>
        <v>0.42555063062749893</v>
      </c>
      <c r="L31" s="5">
        <f t="shared" si="15"/>
        <v>0.4278616106269581</v>
      </c>
      <c r="M31" s="5">
        <f t="shared" si="15"/>
        <v>0.49143655262758751</v>
      </c>
      <c r="N31" s="5">
        <f t="shared" si="15"/>
        <v>0.33853430059797179</v>
      </c>
    </row>
    <row r="32" spans="1:14" s="14" customFormat="1" x14ac:dyDescent="0.2">
      <c r="A32" s="9" t="s">
        <v>61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6" x14ac:dyDescent="0.2">
      <c r="A33" s="10" t="s">
        <v>62</v>
      </c>
      <c r="B33" s="4"/>
      <c r="C33" s="4"/>
      <c r="D33" s="4"/>
      <c r="E33" s="4"/>
      <c r="F33" s="11">
        <v>463495500000</v>
      </c>
      <c r="G33" s="11">
        <v>608807200000</v>
      </c>
      <c r="H33" s="11">
        <v>630999600000</v>
      </c>
      <c r="I33" s="11">
        <v>417351600000</v>
      </c>
      <c r="J33" s="11">
        <v>575235700000</v>
      </c>
      <c r="K33" s="11">
        <v>444218900000</v>
      </c>
      <c r="L33" s="11">
        <v>462290500000</v>
      </c>
      <c r="M33" s="11">
        <v>566928000000</v>
      </c>
      <c r="N33" s="11">
        <v>643019500000</v>
      </c>
    </row>
    <row r="34" spans="1:16" x14ac:dyDescent="0.2">
      <c r="A34" s="10" t="s">
        <v>63</v>
      </c>
      <c r="B34" s="4"/>
      <c r="C34" s="4"/>
      <c r="D34" s="4"/>
      <c r="E34" s="4"/>
      <c r="F34" s="11">
        <v>83776700000</v>
      </c>
      <c r="G34" s="11">
        <v>64327300000</v>
      </c>
      <c r="H34" s="11">
        <v>97580900000</v>
      </c>
      <c r="I34" s="11">
        <v>74718100000</v>
      </c>
      <c r="J34" s="11">
        <v>120861300000</v>
      </c>
      <c r="K34" s="11">
        <v>91018100000</v>
      </c>
      <c r="L34" s="11">
        <v>87082200000</v>
      </c>
      <c r="M34" s="11">
        <v>115886700000</v>
      </c>
      <c r="N34" s="11">
        <v>140388000000</v>
      </c>
    </row>
    <row r="35" spans="1:16" x14ac:dyDescent="0.2">
      <c r="A35" s="10" t="s">
        <v>64</v>
      </c>
      <c r="B35" s="4"/>
      <c r="C35" s="4"/>
      <c r="D35" s="4"/>
      <c r="E35" s="4"/>
      <c r="F35" s="11">
        <f>1977810100000-SUM(F33:F34)</f>
        <v>1430537900000</v>
      </c>
      <c r="G35" s="11">
        <f>1715252100000-SUM(G33:G34)</f>
        <v>1042117600000</v>
      </c>
      <c r="H35" s="11">
        <f>1719451200000-SUM(H33:H34)</f>
        <v>990870700000</v>
      </c>
      <c r="I35" s="11">
        <f>1623009500000-SUM(I33:I34)</f>
        <v>1130939800000</v>
      </c>
      <c r="J35" s="11">
        <f>1691794300000-SUM(J33:J34)</f>
        <v>995697300000</v>
      </c>
      <c r="K35" s="11">
        <f>1758383000000-SUM(K33:K34)</f>
        <v>1223146000000</v>
      </c>
      <c r="L35" s="11">
        <f>1617303200000-SUM(L33:L34)</f>
        <v>1067930500000</v>
      </c>
      <c r="M35" s="11">
        <f>1624656900000-SUM(M33:M34)</f>
        <v>941842200000</v>
      </c>
      <c r="N35" s="11">
        <f>1786744500000-SUM(N33:N34)</f>
        <v>1003337000000</v>
      </c>
      <c r="P35" s="31"/>
    </row>
    <row r="36" spans="1:16" x14ac:dyDescent="0.2">
      <c r="A36" s="9" t="s">
        <v>65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6" x14ac:dyDescent="0.2">
      <c r="A37" s="10" t="s">
        <v>62</v>
      </c>
      <c r="B37" s="4"/>
      <c r="C37" s="4"/>
      <c r="D37" s="4"/>
      <c r="E37" s="4"/>
      <c r="F37" s="8">
        <v>1541288</v>
      </c>
      <c r="G37" s="8">
        <v>2096563</v>
      </c>
      <c r="H37" s="8">
        <v>1976957</v>
      </c>
      <c r="I37" s="8">
        <v>1357994</v>
      </c>
      <c r="J37" s="8">
        <v>1567300</v>
      </c>
      <c r="K37" s="8">
        <v>1225874</v>
      </c>
      <c r="L37" s="8">
        <v>1249422</v>
      </c>
      <c r="M37" s="8">
        <v>1754833</v>
      </c>
      <c r="N37" s="8">
        <v>1738189</v>
      </c>
    </row>
    <row r="38" spans="1:16" x14ac:dyDescent="0.2">
      <c r="A38" s="10" t="s">
        <v>63</v>
      </c>
      <c r="B38" s="4"/>
      <c r="C38" s="4"/>
      <c r="D38" s="4"/>
      <c r="E38" s="4"/>
      <c r="F38" s="8">
        <v>289498</v>
      </c>
      <c r="G38" s="8">
        <v>276601</v>
      </c>
      <c r="H38" s="8">
        <v>424197</v>
      </c>
      <c r="I38" s="8">
        <v>309190</v>
      </c>
      <c r="J38" s="8">
        <v>422306</v>
      </c>
      <c r="K38" s="8">
        <v>363850</v>
      </c>
      <c r="L38" s="8">
        <v>332525</v>
      </c>
      <c r="M38" s="8">
        <v>469045</v>
      </c>
      <c r="N38" s="8">
        <v>557367</v>
      </c>
    </row>
    <row r="39" spans="1:16" x14ac:dyDescent="0.2">
      <c r="A39" s="10" t="s">
        <v>64</v>
      </c>
      <c r="B39" s="4"/>
      <c r="C39" s="4"/>
      <c r="D39" s="4"/>
      <c r="E39" s="4"/>
      <c r="F39" s="8">
        <f>9061539-SUM(F37:F38)</f>
        <v>7230753</v>
      </c>
      <c r="G39" s="8">
        <f>9654867-SUM(G37:G38)</f>
        <v>7281703</v>
      </c>
      <c r="H39" s="8">
        <f>9920421-SUM(H37:H38)</f>
        <v>7519267</v>
      </c>
      <c r="I39" s="8">
        <f>9930041-SUM(I37:I38)</f>
        <v>8262857</v>
      </c>
      <c r="J39" s="8">
        <f>9301986-SUM(J37:J38)</f>
        <v>7312380</v>
      </c>
      <c r="K39" s="8">
        <f>10274404-SUM(K37:K38)</f>
        <v>8684680</v>
      </c>
      <c r="L39" s="8">
        <f>8608411-SUM(L37:L38)</f>
        <v>7026464</v>
      </c>
      <c r="M39" s="8">
        <f>9003902-SUM(M37:M38)</f>
        <v>6780024</v>
      </c>
      <c r="N39" s="8">
        <f>9011886-SUM(N37:N38)</f>
        <v>6716330</v>
      </c>
    </row>
    <row r="40" spans="1:16" x14ac:dyDescent="0.2">
      <c r="A40" s="9" t="s">
        <v>68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6" x14ac:dyDescent="0.2">
      <c r="A41" s="10" t="s">
        <v>62</v>
      </c>
      <c r="B41" s="4"/>
      <c r="C41" s="4"/>
      <c r="D41" s="4"/>
      <c r="E41" s="4"/>
      <c r="F41" s="12">
        <f>F33/F37</f>
        <v>300719.59296380688</v>
      </c>
      <c r="G41" s="12">
        <f t="shared" ref="G41:N41" si="16">G33/G37</f>
        <v>290383.45139163476</v>
      </c>
      <c r="H41" s="12">
        <f t="shared" si="16"/>
        <v>319177.20011107979</v>
      </c>
      <c r="I41" s="12">
        <f t="shared" si="16"/>
        <v>307329.4874645985</v>
      </c>
      <c r="J41" s="12">
        <f t="shared" si="16"/>
        <v>367023.3522618516</v>
      </c>
      <c r="K41" s="12">
        <f t="shared" si="16"/>
        <v>362369.13418507937</v>
      </c>
      <c r="L41" s="12">
        <f t="shared" si="16"/>
        <v>370003.48961359734</v>
      </c>
      <c r="M41" s="12">
        <f t="shared" si="16"/>
        <v>323066.63938961714</v>
      </c>
      <c r="N41" s="12">
        <f t="shared" si="16"/>
        <v>369936.46835873427</v>
      </c>
    </row>
    <row r="42" spans="1:16" x14ac:dyDescent="0.2">
      <c r="A42" s="10" t="s">
        <v>63</v>
      </c>
      <c r="B42" s="4"/>
      <c r="C42" s="4"/>
      <c r="D42" s="4"/>
      <c r="E42" s="4"/>
      <c r="F42" s="12">
        <f t="shared" ref="F42:N42" si="17">F34/F38</f>
        <v>289386.10974859929</v>
      </c>
      <c r="G42" s="12">
        <f t="shared" si="17"/>
        <v>232563.51206250157</v>
      </c>
      <c r="H42" s="12">
        <f t="shared" si="17"/>
        <v>230036.75179220975</v>
      </c>
      <c r="I42" s="12">
        <f t="shared" si="17"/>
        <v>241657.55684207121</v>
      </c>
      <c r="J42" s="12">
        <f t="shared" si="17"/>
        <v>286193.66052104399</v>
      </c>
      <c r="K42" s="12">
        <f t="shared" si="17"/>
        <v>250152.81022399341</v>
      </c>
      <c r="L42" s="12">
        <f t="shared" si="17"/>
        <v>261881.66303285467</v>
      </c>
      <c r="M42" s="12">
        <f t="shared" si="17"/>
        <v>247069.47094628448</v>
      </c>
      <c r="N42" s="12">
        <f t="shared" si="17"/>
        <v>251877.12943177475</v>
      </c>
    </row>
    <row r="43" spans="1:16" x14ac:dyDescent="0.2">
      <c r="A43" s="10" t="s">
        <v>64</v>
      </c>
      <c r="B43" s="4"/>
      <c r="C43" s="4"/>
      <c r="D43" s="4"/>
      <c r="E43" s="4"/>
      <c r="F43" s="12">
        <f t="shared" ref="F43:N43" si="18">F35/F39</f>
        <v>197840.79196177769</v>
      </c>
      <c r="G43" s="12">
        <f t="shared" si="18"/>
        <v>143114.54339733438</v>
      </c>
      <c r="H43" s="12">
        <f t="shared" si="18"/>
        <v>131777.56555259973</v>
      </c>
      <c r="I43" s="12">
        <f t="shared" si="18"/>
        <v>136870.31011186566</v>
      </c>
      <c r="J43" s="12">
        <f t="shared" si="18"/>
        <v>136165.96785178012</v>
      </c>
      <c r="K43" s="12">
        <f t="shared" si="18"/>
        <v>140839.50128271853</v>
      </c>
      <c r="L43" s="12">
        <f t="shared" si="18"/>
        <v>151986.90265829299</v>
      </c>
      <c r="M43" s="12">
        <f t="shared" si="18"/>
        <v>138914.28702907247</v>
      </c>
      <c r="N43" s="12">
        <f t="shared" si="18"/>
        <v>149387.68642994016</v>
      </c>
    </row>
    <row r="44" spans="1:16" x14ac:dyDescent="0.2">
      <c r="A44" s="9" t="s">
        <v>71</v>
      </c>
      <c r="B44" s="3"/>
      <c r="C44" s="3"/>
      <c r="D44" s="3"/>
      <c r="E44" s="3"/>
      <c r="F44" s="3"/>
      <c r="G44" s="3"/>
      <c r="H44" s="3"/>
      <c r="I44" s="3"/>
      <c r="J44" s="16"/>
      <c r="K44" s="16"/>
      <c r="L44" s="16"/>
      <c r="M44" s="16"/>
      <c r="N44" s="17"/>
    </row>
    <row r="45" spans="1:16" x14ac:dyDescent="0.2">
      <c r="A45" s="10" t="s">
        <v>52</v>
      </c>
      <c r="B45" s="5"/>
      <c r="C45" s="5"/>
      <c r="D45" s="5"/>
      <c r="E45" s="5"/>
      <c r="F45" s="5"/>
      <c r="G45" s="5"/>
      <c r="H45" s="5"/>
      <c r="I45" s="5"/>
      <c r="J45" s="5">
        <v>0.4</v>
      </c>
      <c r="K45" s="5">
        <v>0.45</v>
      </c>
      <c r="L45" s="5">
        <v>0.4</v>
      </c>
      <c r="M45" s="5">
        <v>0.4</v>
      </c>
      <c r="N45" s="5">
        <v>0.45</v>
      </c>
    </row>
    <row r="46" spans="1:16" x14ac:dyDescent="0.2">
      <c r="A46" s="10" t="s">
        <v>53</v>
      </c>
      <c r="B46" s="5"/>
      <c r="C46" s="5"/>
      <c r="D46" s="5"/>
      <c r="E46" s="5"/>
      <c r="F46" s="5"/>
      <c r="G46" s="5"/>
      <c r="H46" s="5"/>
      <c r="I46" s="5"/>
      <c r="J46" s="5">
        <v>0.15000000000000002</v>
      </c>
      <c r="K46" s="5">
        <v>0.14999999999999997</v>
      </c>
      <c r="L46" s="5">
        <v>0.17999999999999994</v>
      </c>
      <c r="M46" s="5">
        <v>0.15000000000000002</v>
      </c>
      <c r="N46" s="5">
        <v>0.10000000000000003</v>
      </c>
    </row>
    <row r="47" spans="1:16" x14ac:dyDescent="0.2">
      <c r="A47" s="10" t="s">
        <v>54</v>
      </c>
      <c r="B47" s="5"/>
      <c r="C47" s="5"/>
      <c r="D47" s="5"/>
      <c r="E47" s="5"/>
      <c r="F47" s="5"/>
      <c r="G47" s="5"/>
      <c r="H47" s="5"/>
      <c r="I47" s="5"/>
      <c r="J47" s="5">
        <v>0.45</v>
      </c>
      <c r="K47" s="5">
        <v>0.4</v>
      </c>
      <c r="L47" s="5">
        <v>0.42000000000000004</v>
      </c>
      <c r="M47" s="5">
        <v>0.44999999999999996</v>
      </c>
      <c r="N47" s="5">
        <v>0.44999999999999996</v>
      </c>
    </row>
    <row r="48" spans="1:16" x14ac:dyDescent="0.2">
      <c r="A48" s="10" t="s">
        <v>29</v>
      </c>
      <c r="B48" s="5"/>
      <c r="C48" s="5"/>
      <c r="D48" s="5"/>
      <c r="E48" s="5"/>
      <c r="F48" s="5"/>
      <c r="G48" s="5"/>
      <c r="H48" s="5"/>
      <c r="I48" s="5"/>
      <c r="J48" s="5">
        <f>SUM(J45:J47)</f>
        <v>1</v>
      </c>
      <c r="K48" s="5">
        <f t="shared" ref="K48:N48" si="19">SUM(K45:K47)</f>
        <v>1</v>
      </c>
      <c r="L48" s="5">
        <f t="shared" si="19"/>
        <v>1</v>
      </c>
      <c r="M48" s="5">
        <f t="shared" si="19"/>
        <v>1</v>
      </c>
      <c r="N48" s="5">
        <f t="shared" si="19"/>
        <v>1</v>
      </c>
    </row>
    <row r="49" spans="1:14" x14ac:dyDescent="0.2">
      <c r="A49" s="9" t="s">
        <v>72</v>
      </c>
      <c r="B49" s="3"/>
      <c r="C49" s="3"/>
      <c r="D49" s="3"/>
      <c r="E49" s="3"/>
      <c r="F49" s="3"/>
      <c r="G49" s="3"/>
      <c r="H49" s="3"/>
      <c r="I49" s="3"/>
      <c r="J49" s="16"/>
      <c r="K49" s="16"/>
      <c r="L49" s="16"/>
      <c r="M49" s="16"/>
      <c r="N49" s="17"/>
    </row>
    <row r="50" spans="1:14" x14ac:dyDescent="0.2">
      <c r="A50" s="10" t="s">
        <v>52</v>
      </c>
      <c r="B50" s="5"/>
      <c r="C50" s="5"/>
      <c r="D50" s="5"/>
      <c r="E50" s="5"/>
      <c r="F50" s="5"/>
      <c r="G50" s="5"/>
      <c r="H50" s="5"/>
      <c r="I50" s="5"/>
      <c r="J50" s="5">
        <v>0.35</v>
      </c>
      <c r="K50" s="5">
        <v>0.4</v>
      </c>
      <c r="L50" s="5">
        <v>0.35</v>
      </c>
      <c r="M50" s="5">
        <v>0.35</v>
      </c>
      <c r="N50" s="5">
        <v>0.35</v>
      </c>
    </row>
    <row r="51" spans="1:14" x14ac:dyDescent="0.2">
      <c r="A51" s="10" t="s">
        <v>53</v>
      </c>
      <c r="B51" s="5"/>
      <c r="C51" s="5"/>
      <c r="D51" s="5"/>
      <c r="E51" s="5"/>
      <c r="F51" s="5"/>
      <c r="G51" s="5"/>
      <c r="H51" s="5"/>
      <c r="I51" s="5"/>
      <c r="J51" s="5">
        <v>0.30000000000000004</v>
      </c>
      <c r="K51" s="5">
        <v>0.25</v>
      </c>
      <c r="L51" s="5">
        <v>0.30000000000000004</v>
      </c>
      <c r="M51" s="5">
        <v>0.25</v>
      </c>
      <c r="N51" s="5">
        <v>0.30000000000000004</v>
      </c>
    </row>
    <row r="52" spans="1:14" x14ac:dyDescent="0.2">
      <c r="A52" s="10" t="s">
        <v>54</v>
      </c>
      <c r="B52" s="5"/>
      <c r="C52" s="5"/>
      <c r="D52" s="5"/>
      <c r="E52" s="5"/>
      <c r="F52" s="5"/>
      <c r="G52" s="5"/>
      <c r="H52" s="5"/>
      <c r="I52" s="5"/>
      <c r="J52" s="5">
        <v>0.35</v>
      </c>
      <c r="K52" s="5">
        <v>0.35</v>
      </c>
      <c r="L52" s="5">
        <v>0.35</v>
      </c>
      <c r="M52" s="5">
        <v>0.4</v>
      </c>
      <c r="N52" s="5">
        <v>0.35</v>
      </c>
    </row>
    <row r="53" spans="1:14" x14ac:dyDescent="0.2">
      <c r="A53" s="10" t="s">
        <v>29</v>
      </c>
      <c r="B53" s="5"/>
      <c r="C53" s="5"/>
      <c r="D53" s="5"/>
      <c r="E53" s="5"/>
      <c r="F53" s="5"/>
      <c r="G53" s="5"/>
      <c r="H53" s="5"/>
      <c r="I53" s="5"/>
      <c r="J53" s="5">
        <f>SUM(J50:J52)</f>
        <v>1</v>
      </c>
      <c r="K53" s="5">
        <f t="shared" ref="K53:N53" si="20">SUM(K50:K52)</f>
        <v>1</v>
      </c>
      <c r="L53" s="5">
        <f t="shared" si="20"/>
        <v>1</v>
      </c>
      <c r="M53" s="5">
        <f t="shared" si="20"/>
        <v>1</v>
      </c>
      <c r="N53" s="5">
        <f t="shared" si="20"/>
        <v>1</v>
      </c>
    </row>
    <row r="54" spans="1:14" x14ac:dyDescent="0.2">
      <c r="A54" s="9" t="s">
        <v>73</v>
      </c>
      <c r="B54" s="3"/>
      <c r="C54" s="3"/>
      <c r="D54" s="3"/>
      <c r="E54" s="3"/>
      <c r="F54" s="3"/>
      <c r="G54" s="3"/>
      <c r="H54" s="3"/>
      <c r="I54" s="3"/>
      <c r="J54" s="16"/>
      <c r="K54" s="16"/>
      <c r="L54" s="16"/>
      <c r="M54" s="16"/>
      <c r="N54" s="17"/>
    </row>
    <row r="55" spans="1:14" x14ac:dyDescent="0.2">
      <c r="A55" s="10" t="s">
        <v>52</v>
      </c>
      <c r="B55" s="5"/>
      <c r="C55" s="5"/>
      <c r="D55" s="5"/>
      <c r="E55" s="5"/>
      <c r="F55" s="5"/>
      <c r="G55" s="5"/>
      <c r="H55" s="5"/>
      <c r="I55" s="5"/>
      <c r="J55" s="5">
        <v>0.35</v>
      </c>
      <c r="K55" s="5">
        <v>0.35</v>
      </c>
      <c r="L55" s="5">
        <v>0.35</v>
      </c>
      <c r="M55" s="5">
        <v>0.35</v>
      </c>
      <c r="N55" s="5">
        <v>0.35</v>
      </c>
    </row>
    <row r="56" spans="1:14" x14ac:dyDescent="0.2">
      <c r="A56" s="10" t="s">
        <v>53</v>
      </c>
      <c r="B56" s="5"/>
      <c r="C56" s="5"/>
      <c r="D56" s="5"/>
      <c r="E56" s="5"/>
      <c r="F56" s="5"/>
      <c r="G56" s="5"/>
      <c r="H56" s="5"/>
      <c r="I56" s="5"/>
      <c r="J56" s="5">
        <v>0.35</v>
      </c>
      <c r="K56" s="5">
        <v>0.35</v>
      </c>
      <c r="L56" s="5">
        <v>0.4</v>
      </c>
      <c r="M56" s="5">
        <v>0.44999999999999996</v>
      </c>
      <c r="N56" s="5">
        <v>0.4</v>
      </c>
    </row>
    <row r="57" spans="1:14" x14ac:dyDescent="0.2">
      <c r="A57" s="10" t="s">
        <v>54</v>
      </c>
      <c r="B57" s="5"/>
      <c r="C57" s="5"/>
      <c r="D57" s="5"/>
      <c r="E57" s="5"/>
      <c r="F57" s="5"/>
      <c r="G57" s="5"/>
      <c r="H57" s="5"/>
      <c r="I57" s="5"/>
      <c r="J57" s="5">
        <v>0.3</v>
      </c>
      <c r="K57" s="5">
        <v>0.3</v>
      </c>
      <c r="L57" s="5">
        <v>0.25</v>
      </c>
      <c r="M57" s="5">
        <v>0.30000000000000004</v>
      </c>
      <c r="N57" s="5">
        <v>0.25</v>
      </c>
    </row>
    <row r="58" spans="1:14" x14ac:dyDescent="0.2">
      <c r="A58" s="10" t="s">
        <v>29</v>
      </c>
      <c r="B58" s="5"/>
      <c r="C58" s="5"/>
      <c r="D58" s="5"/>
      <c r="E58" s="5"/>
      <c r="F58" s="5"/>
      <c r="G58" s="5"/>
      <c r="H58" s="5"/>
      <c r="I58" s="5"/>
      <c r="J58" s="5">
        <f>SUM(J55:J57)</f>
        <v>1</v>
      </c>
      <c r="K58" s="5">
        <f t="shared" ref="K58:N58" si="21">SUM(K55:K57)</f>
        <v>1</v>
      </c>
      <c r="L58" s="5">
        <f t="shared" si="21"/>
        <v>1</v>
      </c>
      <c r="M58" s="5">
        <f t="shared" si="21"/>
        <v>1.1000000000000001</v>
      </c>
      <c r="N58" s="5">
        <f t="shared" si="21"/>
        <v>1</v>
      </c>
    </row>
    <row r="59" spans="1:14" x14ac:dyDescent="0.2">
      <c r="A59" s="9" t="s">
        <v>74</v>
      </c>
      <c r="B59" s="3"/>
      <c r="C59" s="3"/>
      <c r="D59" s="3"/>
      <c r="E59" s="3"/>
      <c r="F59" s="3"/>
      <c r="G59" s="3"/>
      <c r="H59" s="3"/>
      <c r="I59" s="3"/>
      <c r="J59" s="16"/>
      <c r="K59" s="16"/>
      <c r="L59" s="16"/>
      <c r="M59" s="16"/>
      <c r="N59" s="17"/>
    </row>
    <row r="60" spans="1:14" x14ac:dyDescent="0.2">
      <c r="A60" s="10" t="s">
        <v>52</v>
      </c>
      <c r="B60" s="5"/>
      <c r="C60" s="5"/>
      <c r="D60" s="5"/>
      <c r="E60" s="5"/>
      <c r="F60" s="5"/>
      <c r="G60" s="5"/>
      <c r="H60" s="5"/>
      <c r="I60" s="5"/>
      <c r="J60" s="5">
        <v>0.6</v>
      </c>
      <c r="K60" s="5">
        <v>0.63</v>
      </c>
      <c r="L60" s="5">
        <v>0.6</v>
      </c>
      <c r="M60" s="5">
        <v>0.55000000000000004</v>
      </c>
      <c r="N60" s="5">
        <v>0.52</v>
      </c>
    </row>
    <row r="61" spans="1:14" x14ac:dyDescent="0.2">
      <c r="A61" s="10" t="s">
        <v>53</v>
      </c>
      <c r="B61" s="5"/>
      <c r="C61" s="5"/>
      <c r="D61" s="5"/>
      <c r="E61" s="5"/>
      <c r="F61" s="5"/>
      <c r="G61" s="5"/>
      <c r="H61" s="5"/>
      <c r="I61" s="5"/>
      <c r="J61" s="5">
        <v>0.05</v>
      </c>
      <c r="K61" s="5">
        <v>0.05</v>
      </c>
      <c r="L61" s="5">
        <v>0.05</v>
      </c>
      <c r="M61" s="5">
        <v>4.9999999999999933E-2</v>
      </c>
      <c r="N61" s="5">
        <v>3.0000000000000027E-2</v>
      </c>
    </row>
    <row r="62" spans="1:14" x14ac:dyDescent="0.2">
      <c r="A62" s="10" t="s">
        <v>54</v>
      </c>
      <c r="B62" s="5"/>
      <c r="C62" s="5"/>
      <c r="D62" s="5"/>
      <c r="E62" s="5"/>
      <c r="F62" s="5"/>
      <c r="G62" s="5"/>
      <c r="H62" s="5"/>
      <c r="I62" s="5"/>
      <c r="J62" s="5">
        <v>0.35</v>
      </c>
      <c r="K62" s="5">
        <v>0.31999999999999995</v>
      </c>
      <c r="L62" s="5">
        <v>0.35</v>
      </c>
      <c r="M62" s="5">
        <v>0.4</v>
      </c>
      <c r="N62" s="5">
        <v>0.44999999999999996</v>
      </c>
    </row>
    <row r="63" spans="1:14" x14ac:dyDescent="0.2">
      <c r="A63" s="10" t="s">
        <v>29</v>
      </c>
      <c r="B63" s="5"/>
      <c r="C63" s="5"/>
      <c r="D63" s="5"/>
      <c r="E63" s="5"/>
      <c r="F63" s="5"/>
      <c r="G63" s="5"/>
      <c r="H63" s="5"/>
      <c r="I63" s="5"/>
      <c r="J63" s="5">
        <f>SUM(J60:J62)</f>
        <v>1</v>
      </c>
      <c r="K63" s="5">
        <f t="shared" ref="K63" si="22">SUM(K60:K62)</f>
        <v>1</v>
      </c>
      <c r="L63" s="5">
        <f t="shared" ref="L63" si="23">SUM(L60:L62)</f>
        <v>1</v>
      </c>
      <c r="M63" s="5">
        <f t="shared" ref="M63" si="24">SUM(M60:M62)</f>
        <v>1</v>
      </c>
      <c r="N63" s="5">
        <f t="shared" ref="N63" si="25">SUM(N60:N62)</f>
        <v>1</v>
      </c>
    </row>
    <row r="64" spans="1:14" x14ac:dyDescent="0.2">
      <c r="A64" s="9" t="s">
        <v>75</v>
      </c>
      <c r="B64" s="3"/>
      <c r="C64" s="3"/>
      <c r="D64" s="3"/>
      <c r="E64" s="3"/>
      <c r="F64" s="3"/>
      <c r="G64" s="3"/>
      <c r="H64" s="3"/>
      <c r="I64" s="3"/>
      <c r="J64" s="16"/>
      <c r="K64" s="16"/>
      <c r="L64" s="16"/>
      <c r="M64" s="16"/>
      <c r="N64" s="17"/>
    </row>
    <row r="65" spans="1:14" x14ac:dyDescent="0.2">
      <c r="A65" s="10" t="s">
        <v>52</v>
      </c>
      <c r="B65" s="5"/>
      <c r="C65" s="5"/>
      <c r="D65" s="5"/>
      <c r="E65" s="5"/>
      <c r="F65" s="5"/>
      <c r="G65" s="5"/>
      <c r="H65" s="5"/>
      <c r="I65" s="5"/>
      <c r="J65" s="5">
        <v>0.5</v>
      </c>
      <c r="K65" s="5">
        <v>0.5</v>
      </c>
      <c r="L65" s="5">
        <v>0.5</v>
      </c>
      <c r="M65" s="5">
        <v>0.45</v>
      </c>
      <c r="N65" s="5">
        <v>0.45</v>
      </c>
    </row>
    <row r="66" spans="1:14" x14ac:dyDescent="0.2">
      <c r="A66" s="10" t="s">
        <v>53</v>
      </c>
      <c r="B66" s="5"/>
      <c r="C66" s="5"/>
      <c r="D66" s="5"/>
      <c r="E66" s="5"/>
      <c r="F66" s="5"/>
      <c r="G66" s="5"/>
      <c r="H66" s="5"/>
      <c r="I66" s="5"/>
      <c r="J66" s="5">
        <v>9.9999999999999978E-2</v>
      </c>
      <c r="K66" s="5">
        <v>9.9999999999999978E-2</v>
      </c>
      <c r="L66" s="5">
        <v>9.9999999999999978E-2</v>
      </c>
      <c r="M66" s="5">
        <v>0.12999999999999995</v>
      </c>
      <c r="N66" s="5">
        <v>0.12999999999999995</v>
      </c>
    </row>
    <row r="67" spans="1:14" x14ac:dyDescent="0.2">
      <c r="A67" s="10" t="s">
        <v>54</v>
      </c>
      <c r="B67" s="5"/>
      <c r="C67" s="5"/>
      <c r="D67" s="5"/>
      <c r="E67" s="5"/>
      <c r="F67" s="5"/>
      <c r="G67" s="5"/>
      <c r="H67" s="5"/>
      <c r="I67" s="5"/>
      <c r="J67" s="5">
        <v>0.4</v>
      </c>
      <c r="K67" s="5">
        <v>0.4</v>
      </c>
      <c r="L67" s="5">
        <v>0.4</v>
      </c>
      <c r="M67" s="5">
        <v>0.42000000000000004</v>
      </c>
      <c r="N67" s="5">
        <v>0.42000000000000004</v>
      </c>
    </row>
    <row r="68" spans="1:14" x14ac:dyDescent="0.2">
      <c r="A68" s="10" t="s">
        <v>29</v>
      </c>
      <c r="B68" s="5"/>
      <c r="C68" s="5"/>
      <c r="D68" s="5"/>
      <c r="E68" s="5"/>
      <c r="F68" s="5"/>
      <c r="G68" s="5"/>
      <c r="H68" s="5"/>
      <c r="I68" s="5"/>
      <c r="J68" s="5">
        <f>SUM(J65:J67)</f>
        <v>1</v>
      </c>
      <c r="K68" s="5">
        <f t="shared" ref="K68" si="26">SUM(K65:K67)</f>
        <v>1</v>
      </c>
      <c r="L68" s="5">
        <f t="shared" ref="L68" si="27">SUM(L65:L67)</f>
        <v>1</v>
      </c>
      <c r="M68" s="5">
        <f t="shared" ref="M68" si="28">SUM(M65:M67)</f>
        <v>1</v>
      </c>
      <c r="N68" s="5">
        <f t="shared" ref="N68" si="29">SUM(N65:N67)</f>
        <v>1</v>
      </c>
    </row>
    <row r="69" spans="1:14" x14ac:dyDescent="0.2">
      <c r="A69" s="9" t="s">
        <v>76</v>
      </c>
      <c r="B69" s="3"/>
      <c r="C69" s="3"/>
      <c r="D69" s="3"/>
      <c r="E69" s="3"/>
      <c r="F69" s="3"/>
      <c r="G69" s="3"/>
      <c r="H69" s="3"/>
      <c r="I69" s="3"/>
      <c r="J69" s="16"/>
      <c r="K69" s="16"/>
      <c r="L69" s="16"/>
      <c r="M69" s="16"/>
      <c r="N69" s="17"/>
    </row>
    <row r="70" spans="1:14" x14ac:dyDescent="0.2">
      <c r="A70" s="10" t="s">
        <v>52</v>
      </c>
      <c r="B70" s="5"/>
      <c r="C70" s="5"/>
      <c r="D70" s="5"/>
      <c r="E70" s="5"/>
      <c r="F70" s="5"/>
      <c r="G70" s="5"/>
      <c r="H70" s="5"/>
      <c r="I70" s="5"/>
      <c r="J70" s="5">
        <v>0.4</v>
      </c>
      <c r="K70" s="5">
        <v>0.45</v>
      </c>
      <c r="L70" s="5">
        <v>0.4</v>
      </c>
      <c r="M70" s="5">
        <v>0.4</v>
      </c>
      <c r="N70" s="5">
        <v>0.38</v>
      </c>
    </row>
    <row r="71" spans="1:14" x14ac:dyDescent="0.2">
      <c r="A71" s="10" t="s">
        <v>53</v>
      </c>
      <c r="B71" s="5"/>
      <c r="C71" s="5"/>
      <c r="D71" s="5"/>
      <c r="E71" s="5"/>
      <c r="F71" s="5"/>
      <c r="G71" s="5"/>
      <c r="H71" s="5"/>
      <c r="I71" s="5"/>
      <c r="J71" s="5">
        <v>0.21999999999999997</v>
      </c>
      <c r="K71" s="5">
        <v>0.18</v>
      </c>
      <c r="L71" s="5">
        <v>0.22999999999999998</v>
      </c>
      <c r="M71" s="5">
        <v>0.19999999999999996</v>
      </c>
      <c r="N71" s="5">
        <v>0.21999999999999997</v>
      </c>
    </row>
    <row r="72" spans="1:14" x14ac:dyDescent="0.2">
      <c r="A72" s="10" t="s">
        <v>54</v>
      </c>
      <c r="B72" s="5"/>
      <c r="C72" s="5"/>
      <c r="D72" s="5"/>
      <c r="E72" s="5"/>
      <c r="F72" s="5"/>
      <c r="G72" s="5"/>
      <c r="H72" s="5"/>
      <c r="I72" s="5"/>
      <c r="J72" s="5">
        <v>0.38</v>
      </c>
      <c r="K72" s="5">
        <v>0.37</v>
      </c>
      <c r="L72" s="5">
        <v>0.37</v>
      </c>
      <c r="M72" s="5">
        <v>0.4</v>
      </c>
      <c r="N72" s="5">
        <v>0.4</v>
      </c>
    </row>
    <row r="73" spans="1:14" x14ac:dyDescent="0.2">
      <c r="A73" s="10" t="s">
        <v>29</v>
      </c>
      <c r="B73" s="5"/>
      <c r="C73" s="5"/>
      <c r="D73" s="5"/>
      <c r="E73" s="5"/>
      <c r="F73" s="5"/>
      <c r="G73" s="5"/>
      <c r="H73" s="5"/>
      <c r="I73" s="5"/>
      <c r="J73" s="5">
        <f>SUM(J70:J72)</f>
        <v>1</v>
      </c>
      <c r="K73" s="5">
        <f t="shared" ref="K73" si="30">SUM(K70:K72)</f>
        <v>1</v>
      </c>
      <c r="L73" s="5">
        <f t="shared" ref="L73" si="31">SUM(L70:L72)</f>
        <v>1</v>
      </c>
      <c r="M73" s="5">
        <f t="shared" ref="M73" si="32">SUM(M70:M72)</f>
        <v>1</v>
      </c>
      <c r="N73" s="5">
        <f t="shared" ref="N73" si="33">SUM(N70:N72)</f>
        <v>1</v>
      </c>
    </row>
    <row r="74" spans="1:14" x14ac:dyDescent="0.2">
      <c r="A74" s="9" t="s">
        <v>85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2">
      <c r="A75" s="10" t="s">
        <v>77</v>
      </c>
      <c r="B75" s="12">
        <f>125.3*10^6</f>
        <v>125300000</v>
      </c>
      <c r="C75" s="12">
        <v>110000000</v>
      </c>
      <c r="D75" s="12">
        <v>106700000</v>
      </c>
      <c r="E75" s="12">
        <v>113700000</v>
      </c>
      <c r="F75" s="12">
        <v>167000000</v>
      </c>
      <c r="G75" s="12">
        <v>183700000</v>
      </c>
      <c r="H75" s="12">
        <v>175700000</v>
      </c>
      <c r="I75" s="12">
        <v>168300000</v>
      </c>
      <c r="J75" s="12">
        <v>132300000.00000001</v>
      </c>
      <c r="K75" s="12">
        <v>153600000</v>
      </c>
      <c r="L75" s="12">
        <v>120700000</v>
      </c>
      <c r="M75" s="12">
        <v>121400000</v>
      </c>
      <c r="N75" s="12">
        <v>114200000</v>
      </c>
    </row>
    <row r="76" spans="1:14" x14ac:dyDescent="0.2">
      <c r="A76" s="10" t="s">
        <v>78</v>
      </c>
      <c r="B76" s="12">
        <f>121.2*10^6</f>
        <v>121200000</v>
      </c>
      <c r="C76" s="12">
        <v>116300000</v>
      </c>
      <c r="D76" s="12">
        <v>121300000</v>
      </c>
      <c r="E76" s="12">
        <v>133699999.99999999</v>
      </c>
      <c r="F76" s="12">
        <v>190600000</v>
      </c>
      <c r="G76" s="12">
        <v>178200000</v>
      </c>
      <c r="H76" s="12">
        <v>162200000</v>
      </c>
      <c r="I76" s="12">
        <v>153300000</v>
      </c>
      <c r="J76" s="12">
        <v>130600000</v>
      </c>
      <c r="K76" s="12">
        <v>148200000</v>
      </c>
      <c r="L76" s="12">
        <v>121100000</v>
      </c>
      <c r="M76" s="12">
        <v>127600000</v>
      </c>
      <c r="N76" s="12">
        <v>126600000</v>
      </c>
    </row>
    <row r="77" spans="1:14" x14ac:dyDescent="0.2">
      <c r="A77" s="10" t="s">
        <v>79</v>
      </c>
      <c r="B77" s="12">
        <f>37.5*10^6</f>
        <v>37500000</v>
      </c>
      <c r="C77" s="12">
        <v>37700000</v>
      </c>
      <c r="D77" s="12">
        <v>40700000</v>
      </c>
      <c r="E77" s="12">
        <v>45700000</v>
      </c>
      <c r="F77" s="12">
        <v>56400000</v>
      </c>
      <c r="G77" s="12">
        <v>50300000</v>
      </c>
      <c r="H77" s="12">
        <v>47900000</v>
      </c>
      <c r="I77" s="12">
        <v>46000000</v>
      </c>
      <c r="J77" s="12">
        <v>43400000</v>
      </c>
      <c r="K77" s="12">
        <v>48200000</v>
      </c>
      <c r="L77" s="12">
        <v>41500000</v>
      </c>
      <c r="M77" s="12">
        <v>44800000</v>
      </c>
      <c r="N77" s="12">
        <v>46200000</v>
      </c>
    </row>
    <row r="78" spans="1:14" x14ac:dyDescent="0.2">
      <c r="A78" s="10" t="s">
        <v>80</v>
      </c>
      <c r="B78" s="12">
        <f>120.8*10^6</f>
        <v>120800000</v>
      </c>
      <c r="C78" s="12">
        <v>128800000.00000001</v>
      </c>
      <c r="D78" s="12">
        <v>141100000</v>
      </c>
      <c r="E78" s="12">
        <v>158700000</v>
      </c>
      <c r="F78" s="12">
        <v>197500000</v>
      </c>
      <c r="G78" s="12">
        <v>159600000</v>
      </c>
      <c r="H78" s="12">
        <v>140700000</v>
      </c>
      <c r="I78" s="12">
        <v>129800000.00000001</v>
      </c>
      <c r="J78" s="12">
        <v>115800000</v>
      </c>
      <c r="K78" s="12">
        <v>121400000</v>
      </c>
      <c r="L78" s="12">
        <v>104400000</v>
      </c>
      <c r="M78" s="12">
        <v>111100000</v>
      </c>
      <c r="N78" s="12">
        <v>113500000</v>
      </c>
    </row>
    <row r="79" spans="1:14" x14ac:dyDescent="0.2">
      <c r="A79" s="10" t="s">
        <v>81</v>
      </c>
      <c r="B79" s="12">
        <f>445*10^6</f>
        <v>445000000</v>
      </c>
      <c r="C79" s="12">
        <v>534500000</v>
      </c>
      <c r="D79" s="12">
        <v>600600000</v>
      </c>
      <c r="E79" s="12">
        <v>662700000</v>
      </c>
      <c r="F79" s="12">
        <v>649600000</v>
      </c>
      <c r="G79" s="12">
        <v>513600000</v>
      </c>
      <c r="H79" s="12">
        <v>502200000</v>
      </c>
      <c r="I79" s="12">
        <v>457100000</v>
      </c>
      <c r="J79" s="12">
        <v>464400000</v>
      </c>
      <c r="K79" s="12">
        <v>441500000</v>
      </c>
      <c r="L79" s="12">
        <v>408100000</v>
      </c>
      <c r="M79" s="12">
        <v>450200000</v>
      </c>
      <c r="N79" s="12">
        <v>492100000</v>
      </c>
    </row>
    <row r="80" spans="1:14" x14ac:dyDescent="0.2">
      <c r="A80" s="10" t="s">
        <v>82</v>
      </c>
      <c r="B80" s="12">
        <f>348.3*10^6</f>
        <v>348300000</v>
      </c>
      <c r="C80" s="12">
        <v>423000000</v>
      </c>
      <c r="D80" s="12">
        <v>475600000</v>
      </c>
      <c r="E80" s="12">
        <v>509600000</v>
      </c>
      <c r="F80" s="12">
        <v>421000000</v>
      </c>
      <c r="G80" s="12">
        <v>327900000</v>
      </c>
      <c r="H80" s="12">
        <v>317100000</v>
      </c>
      <c r="I80" s="12">
        <v>278100000</v>
      </c>
      <c r="J80" s="12">
        <v>291300000</v>
      </c>
      <c r="K80" s="12">
        <v>266899999.99999997</v>
      </c>
      <c r="L80" s="12">
        <v>261600000.00000003</v>
      </c>
      <c r="M80" s="12">
        <v>285900000</v>
      </c>
      <c r="N80" s="12">
        <v>334200000</v>
      </c>
    </row>
    <row r="81" spans="1:14" x14ac:dyDescent="0.2">
      <c r="A81" s="10" t="s">
        <v>83</v>
      </c>
      <c r="B81" s="12">
        <f>516.7*10^6</f>
        <v>516700000.00000006</v>
      </c>
      <c r="C81" s="12">
        <v>593800000</v>
      </c>
      <c r="D81" s="12">
        <v>662400000</v>
      </c>
      <c r="E81" s="12">
        <v>704500000</v>
      </c>
      <c r="F81" s="12">
        <v>535299999.99999994</v>
      </c>
      <c r="G81" s="12">
        <v>401700000</v>
      </c>
      <c r="H81" s="12">
        <v>395900000</v>
      </c>
      <c r="I81" s="12">
        <v>348500000</v>
      </c>
      <c r="J81" s="12">
        <v>363000000</v>
      </c>
      <c r="K81" s="12">
        <v>339000000</v>
      </c>
      <c r="L81" s="12">
        <v>328600000</v>
      </c>
      <c r="M81" s="12">
        <v>351400000</v>
      </c>
      <c r="N81" s="12">
        <v>413800000</v>
      </c>
    </row>
    <row r="82" spans="1:14" x14ac:dyDescent="0.2">
      <c r="A82" s="10" t="s">
        <v>84</v>
      </c>
      <c r="B82" s="12">
        <f>6457.5*10^6</f>
        <v>6457500000</v>
      </c>
      <c r="C82" s="12">
        <v>8123400000</v>
      </c>
      <c r="D82" s="12">
        <v>9172400000</v>
      </c>
      <c r="E82" s="12">
        <v>10198400000</v>
      </c>
      <c r="F82" s="12">
        <v>8544200000.000001</v>
      </c>
      <c r="G82" s="12">
        <v>6237800000</v>
      </c>
      <c r="H82" s="12">
        <v>6023800000</v>
      </c>
      <c r="I82" s="12">
        <v>5049300000</v>
      </c>
      <c r="J82" s="12">
        <v>4886600000</v>
      </c>
      <c r="K82" s="12">
        <v>4537000000</v>
      </c>
      <c r="L82" s="12">
        <v>4024000000</v>
      </c>
      <c r="M82" s="12">
        <v>3321300000</v>
      </c>
      <c r="N82" s="12">
        <v>4623300000</v>
      </c>
    </row>
    <row r="83" spans="1:14" x14ac:dyDescent="0.2">
      <c r="A83" s="9" t="s">
        <v>86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x14ac:dyDescent="0.2">
      <c r="A84" s="10" t="s">
        <v>77</v>
      </c>
      <c r="B84" s="8">
        <v>8264</v>
      </c>
      <c r="C84" s="8">
        <v>7093</v>
      </c>
      <c r="D84" s="8">
        <v>6731</v>
      </c>
      <c r="E84" s="8">
        <v>7090</v>
      </c>
      <c r="F84" s="8">
        <v>10461</v>
      </c>
      <c r="G84" s="8">
        <v>11990</v>
      </c>
      <c r="H84" s="8">
        <v>11689</v>
      </c>
      <c r="I84" s="8">
        <v>11173</v>
      </c>
      <c r="J84" s="8">
        <v>8620</v>
      </c>
      <c r="K84" s="8">
        <v>9952</v>
      </c>
      <c r="L84" s="8">
        <v>7736</v>
      </c>
      <c r="M84" s="8">
        <v>7664</v>
      </c>
      <c r="N84" s="8">
        <v>7096</v>
      </c>
    </row>
    <row r="85" spans="1:14" x14ac:dyDescent="0.2">
      <c r="A85" s="10" t="s">
        <v>78</v>
      </c>
      <c r="B85" s="8">
        <v>2826</v>
      </c>
      <c r="C85" s="8">
        <v>2685</v>
      </c>
      <c r="D85" s="8">
        <v>2786</v>
      </c>
      <c r="E85" s="8">
        <v>3062</v>
      </c>
      <c r="F85" s="8">
        <v>4370</v>
      </c>
      <c r="G85" s="8">
        <v>4130</v>
      </c>
      <c r="H85" s="8">
        <v>3786</v>
      </c>
      <c r="I85" s="8">
        <v>3586</v>
      </c>
      <c r="J85" s="8">
        <v>3059</v>
      </c>
      <c r="K85" s="8">
        <v>3475</v>
      </c>
      <c r="L85" s="8">
        <v>2839</v>
      </c>
      <c r="M85" s="8">
        <v>2987</v>
      </c>
      <c r="N85" s="8">
        <v>2963</v>
      </c>
    </row>
    <row r="86" spans="1:14" x14ac:dyDescent="0.2">
      <c r="A86" s="10" t="s">
        <v>79</v>
      </c>
      <c r="B86" s="8">
        <v>559</v>
      </c>
      <c r="C86" s="8">
        <v>558</v>
      </c>
      <c r="D86" s="8">
        <v>600</v>
      </c>
      <c r="E86" s="8">
        <v>672</v>
      </c>
      <c r="F86" s="8">
        <v>837</v>
      </c>
      <c r="G86" s="8">
        <v>752</v>
      </c>
      <c r="H86" s="8">
        <v>716</v>
      </c>
      <c r="I86" s="8">
        <v>689</v>
      </c>
      <c r="J86" s="8">
        <v>649</v>
      </c>
      <c r="K86" s="8">
        <v>721</v>
      </c>
      <c r="L86" s="8">
        <v>620</v>
      </c>
      <c r="M86" s="8">
        <v>669</v>
      </c>
      <c r="N86" s="8">
        <v>689</v>
      </c>
    </row>
    <row r="87" spans="1:14" x14ac:dyDescent="0.2">
      <c r="A87" s="10" t="s">
        <v>80</v>
      </c>
      <c r="B87" s="8">
        <v>1229</v>
      </c>
      <c r="C87" s="8">
        <v>1309</v>
      </c>
      <c r="D87" s="8">
        <v>1433</v>
      </c>
      <c r="E87" s="8">
        <v>1611</v>
      </c>
      <c r="F87" s="8">
        <v>2006</v>
      </c>
      <c r="G87" s="8">
        <v>1625</v>
      </c>
      <c r="H87" s="8">
        <v>1435</v>
      </c>
      <c r="I87" s="8">
        <v>1325</v>
      </c>
      <c r="J87" s="8">
        <v>1186</v>
      </c>
      <c r="K87" s="8">
        <v>1243</v>
      </c>
      <c r="L87" s="8">
        <v>1070</v>
      </c>
      <c r="M87" s="8">
        <v>1138</v>
      </c>
      <c r="N87" s="8">
        <v>1164</v>
      </c>
    </row>
    <row r="88" spans="1:14" x14ac:dyDescent="0.2">
      <c r="A88" s="10" t="s">
        <v>81</v>
      </c>
      <c r="B88" s="8">
        <v>1734</v>
      </c>
      <c r="C88" s="8">
        <v>2036</v>
      </c>
      <c r="D88" s="8">
        <v>2285</v>
      </c>
      <c r="E88" s="8">
        <v>2529</v>
      </c>
      <c r="F88" s="8">
        <v>2547</v>
      </c>
      <c r="G88" s="8">
        <v>2044</v>
      </c>
      <c r="H88" s="8">
        <v>1993</v>
      </c>
      <c r="I88" s="8">
        <v>1843</v>
      </c>
      <c r="J88" s="8">
        <v>1858</v>
      </c>
      <c r="K88" s="8">
        <v>1805</v>
      </c>
      <c r="L88" s="8">
        <v>1656</v>
      </c>
      <c r="M88" s="8">
        <v>1818</v>
      </c>
      <c r="N88" s="8">
        <v>1967</v>
      </c>
    </row>
    <row r="89" spans="1:14" x14ac:dyDescent="0.2">
      <c r="A89" s="10" t="s">
        <v>82</v>
      </c>
      <c r="B89" s="8">
        <v>415</v>
      </c>
      <c r="C89" s="8">
        <v>509</v>
      </c>
      <c r="D89" s="8">
        <v>576</v>
      </c>
      <c r="E89" s="8">
        <v>619</v>
      </c>
      <c r="F89" s="8">
        <v>507</v>
      </c>
      <c r="G89" s="8">
        <v>396</v>
      </c>
      <c r="H89" s="8">
        <v>386</v>
      </c>
      <c r="I89" s="8">
        <v>341</v>
      </c>
      <c r="J89" s="8">
        <v>360</v>
      </c>
      <c r="K89" s="8">
        <v>330</v>
      </c>
      <c r="L89" s="8">
        <v>325</v>
      </c>
      <c r="M89" s="8">
        <v>357</v>
      </c>
      <c r="N89" s="8">
        <v>415</v>
      </c>
    </row>
    <row r="90" spans="1:14" x14ac:dyDescent="0.2">
      <c r="A90" s="10" t="s">
        <v>83</v>
      </c>
      <c r="B90" s="8">
        <v>331</v>
      </c>
      <c r="C90" s="8">
        <v>381</v>
      </c>
      <c r="D90" s="8">
        <v>426</v>
      </c>
      <c r="E90" s="8">
        <v>454</v>
      </c>
      <c r="F90" s="8">
        <v>344</v>
      </c>
      <c r="G90" s="8">
        <v>258</v>
      </c>
      <c r="H90" s="8">
        <v>255</v>
      </c>
      <c r="I90" s="8">
        <v>226</v>
      </c>
      <c r="J90" s="8">
        <v>237</v>
      </c>
      <c r="K90" s="8">
        <v>222</v>
      </c>
      <c r="L90" s="8">
        <v>216</v>
      </c>
      <c r="M90" s="8">
        <v>231</v>
      </c>
      <c r="N90" s="8">
        <v>271</v>
      </c>
    </row>
    <row r="91" spans="1:14" x14ac:dyDescent="0.2">
      <c r="A91" s="10" t="s">
        <v>84</v>
      </c>
      <c r="B91" s="8">
        <v>745</v>
      </c>
      <c r="C91" s="8">
        <v>864</v>
      </c>
      <c r="D91" s="8">
        <v>965</v>
      </c>
      <c r="E91" s="8">
        <v>1034</v>
      </c>
      <c r="F91" s="8">
        <v>814</v>
      </c>
      <c r="G91" s="8">
        <v>580</v>
      </c>
      <c r="H91" s="8">
        <v>568</v>
      </c>
      <c r="I91" s="8">
        <v>484</v>
      </c>
      <c r="J91" s="8">
        <v>478</v>
      </c>
      <c r="K91" s="8">
        <v>459</v>
      </c>
      <c r="L91" s="8">
        <v>409</v>
      </c>
      <c r="M91" s="8">
        <v>380</v>
      </c>
      <c r="N91" s="8">
        <v>498</v>
      </c>
    </row>
    <row r="92" spans="1:14" x14ac:dyDescent="0.2">
      <c r="A92" s="9" t="s">
        <v>93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x14ac:dyDescent="0.2">
      <c r="A93" s="10" t="s">
        <v>77</v>
      </c>
      <c r="B93" s="12">
        <f>B75/B84</f>
        <v>15162.149080348499</v>
      </c>
      <c r="C93" s="12">
        <f>C75/C84</f>
        <v>15508.247568024814</v>
      </c>
      <c r="D93" s="12">
        <f t="shared" ref="D93:N93" si="34">D75/D84</f>
        <v>15852.027930470955</v>
      </c>
      <c r="E93" s="12">
        <f t="shared" si="34"/>
        <v>16036.671368124118</v>
      </c>
      <c r="F93" s="12">
        <f t="shared" si="34"/>
        <v>15964.056973520695</v>
      </c>
      <c r="G93" s="12">
        <f t="shared" si="34"/>
        <v>15321.100917431193</v>
      </c>
      <c r="H93" s="12">
        <f t="shared" si="34"/>
        <v>15031.22593891693</v>
      </c>
      <c r="I93" s="12">
        <f t="shared" si="34"/>
        <v>15063.098541125928</v>
      </c>
      <c r="J93" s="12">
        <f t="shared" si="34"/>
        <v>15348.02784222738</v>
      </c>
      <c r="K93" s="12">
        <f t="shared" si="34"/>
        <v>15434.083601286173</v>
      </c>
      <c r="L93" s="12">
        <f t="shared" si="34"/>
        <v>15602.378490175801</v>
      </c>
      <c r="M93" s="12">
        <f t="shared" si="34"/>
        <v>15840.292275574113</v>
      </c>
      <c r="N93" s="12">
        <f t="shared" si="34"/>
        <v>16093.57384441939</v>
      </c>
    </row>
    <row r="94" spans="1:14" x14ac:dyDescent="0.2">
      <c r="A94" s="10" t="s">
        <v>78</v>
      </c>
      <c r="B94" s="12">
        <f t="shared" ref="B94:N100" si="35">B76/B85</f>
        <v>42887.473460721871</v>
      </c>
      <c r="C94" s="12">
        <f t="shared" si="35"/>
        <v>43314.7113594041</v>
      </c>
      <c r="D94" s="12">
        <f t="shared" si="35"/>
        <v>43539.124192390525</v>
      </c>
      <c r="E94" s="12">
        <f t="shared" si="35"/>
        <v>43664.271717831478</v>
      </c>
      <c r="F94" s="12">
        <f t="shared" si="35"/>
        <v>43615.560640732263</v>
      </c>
      <c r="G94" s="12">
        <f t="shared" si="35"/>
        <v>43147.699757869246</v>
      </c>
      <c r="H94" s="12">
        <f t="shared" si="35"/>
        <v>42842.049656629686</v>
      </c>
      <c r="I94" s="12">
        <f t="shared" si="35"/>
        <v>42749.58170663692</v>
      </c>
      <c r="J94" s="12">
        <f t="shared" si="35"/>
        <v>42693.690748610657</v>
      </c>
      <c r="K94" s="12">
        <f t="shared" si="35"/>
        <v>42647.482014388486</v>
      </c>
      <c r="L94" s="12">
        <f t="shared" si="35"/>
        <v>42655.864741106023</v>
      </c>
      <c r="M94" s="12">
        <f t="shared" si="35"/>
        <v>42718.446601941745</v>
      </c>
      <c r="N94" s="12">
        <f t="shared" si="35"/>
        <v>42726.965912926091</v>
      </c>
    </row>
    <row r="95" spans="1:14" x14ac:dyDescent="0.2">
      <c r="A95" s="10" t="s">
        <v>79</v>
      </c>
      <c r="B95" s="12">
        <f t="shared" si="35"/>
        <v>67084.078711985683</v>
      </c>
      <c r="C95" s="12">
        <f t="shared" si="35"/>
        <v>67562.724014336913</v>
      </c>
      <c r="D95" s="12">
        <f t="shared" si="35"/>
        <v>67833.333333333328</v>
      </c>
      <c r="E95" s="12">
        <f t="shared" si="35"/>
        <v>68005.952380952382</v>
      </c>
      <c r="F95" s="12">
        <f t="shared" si="35"/>
        <v>67383.51254480287</v>
      </c>
      <c r="G95" s="12">
        <f t="shared" si="35"/>
        <v>66888.297872340423</v>
      </c>
      <c r="H95" s="12">
        <f t="shared" si="35"/>
        <v>66899.441340782127</v>
      </c>
      <c r="I95" s="12">
        <f t="shared" si="35"/>
        <v>66763.425253991285</v>
      </c>
      <c r="J95" s="12">
        <f t="shared" si="35"/>
        <v>66872.11093990755</v>
      </c>
      <c r="K95" s="12">
        <f t="shared" si="35"/>
        <v>66851.595006934818</v>
      </c>
      <c r="L95" s="12">
        <f t="shared" si="35"/>
        <v>66935.483870967742</v>
      </c>
      <c r="M95" s="12">
        <f t="shared" si="35"/>
        <v>66965.620328849021</v>
      </c>
      <c r="N95" s="12">
        <f t="shared" si="35"/>
        <v>67053.701015965169</v>
      </c>
    </row>
    <row r="96" spans="1:14" x14ac:dyDescent="0.2">
      <c r="A96" s="10" t="s">
        <v>80</v>
      </c>
      <c r="B96" s="12">
        <f t="shared" si="35"/>
        <v>98291.293734743696</v>
      </c>
      <c r="C96" s="12">
        <f t="shared" si="35"/>
        <v>98395.721925133708</v>
      </c>
      <c r="D96" s="12">
        <f t="shared" si="35"/>
        <v>98464.759246336354</v>
      </c>
      <c r="E96" s="12">
        <f t="shared" si="35"/>
        <v>98510.242085661084</v>
      </c>
      <c r="F96" s="12">
        <f t="shared" si="35"/>
        <v>98454.636091724824</v>
      </c>
      <c r="G96" s="12">
        <f t="shared" si="35"/>
        <v>98215.38461538461</v>
      </c>
      <c r="H96" s="12">
        <f t="shared" si="35"/>
        <v>98048.780487804877</v>
      </c>
      <c r="I96" s="12">
        <f t="shared" si="35"/>
        <v>97962.264150943403</v>
      </c>
      <c r="J96" s="12">
        <f t="shared" si="35"/>
        <v>97639.123102866783</v>
      </c>
      <c r="K96" s="12">
        <f t="shared" si="35"/>
        <v>97666.934835076434</v>
      </c>
      <c r="L96" s="12">
        <f t="shared" si="35"/>
        <v>97570.09345794392</v>
      </c>
      <c r="M96" s="12">
        <f t="shared" si="35"/>
        <v>97627.4165202109</v>
      </c>
      <c r="N96" s="12">
        <f t="shared" si="35"/>
        <v>97508.591065292101</v>
      </c>
    </row>
    <row r="97" spans="1:14" x14ac:dyDescent="0.2">
      <c r="A97" s="10" t="s">
        <v>81</v>
      </c>
      <c r="B97" s="12">
        <f t="shared" si="35"/>
        <v>256632.06459054211</v>
      </c>
      <c r="C97" s="12">
        <f t="shared" si="35"/>
        <v>262524.55795677798</v>
      </c>
      <c r="D97" s="12">
        <f t="shared" si="35"/>
        <v>262844.63894967176</v>
      </c>
      <c r="E97" s="12">
        <f t="shared" si="35"/>
        <v>262040.33214709372</v>
      </c>
      <c r="F97" s="12">
        <f t="shared" si="35"/>
        <v>255045.15115822537</v>
      </c>
      <c r="G97" s="12">
        <f t="shared" si="35"/>
        <v>251272.0156555773</v>
      </c>
      <c r="H97" s="12">
        <f t="shared" si="35"/>
        <v>251981.93677872553</v>
      </c>
      <c r="I97" s="12">
        <f t="shared" si="35"/>
        <v>248019.53336950624</v>
      </c>
      <c r="J97" s="12">
        <f t="shared" si="35"/>
        <v>249946.17868675996</v>
      </c>
      <c r="K97" s="12">
        <f t="shared" si="35"/>
        <v>244598.33795013849</v>
      </c>
      <c r="L97" s="12">
        <f t="shared" si="35"/>
        <v>246437.19806763285</v>
      </c>
      <c r="M97" s="12">
        <f t="shared" si="35"/>
        <v>247634.76347634764</v>
      </c>
      <c r="N97" s="12">
        <f t="shared" si="35"/>
        <v>250177.9359430605</v>
      </c>
    </row>
    <row r="98" spans="1:14" x14ac:dyDescent="0.2">
      <c r="A98" s="10" t="s">
        <v>82</v>
      </c>
      <c r="B98" s="12">
        <f t="shared" si="35"/>
        <v>839277.10843373497</v>
      </c>
      <c r="C98" s="12">
        <f t="shared" si="35"/>
        <v>831041.25736738706</v>
      </c>
      <c r="D98" s="12">
        <f t="shared" si="35"/>
        <v>825694.4444444445</v>
      </c>
      <c r="E98" s="12">
        <f t="shared" si="35"/>
        <v>823263.32794830366</v>
      </c>
      <c r="F98" s="12">
        <f t="shared" si="35"/>
        <v>830374.75345167657</v>
      </c>
      <c r="G98" s="12">
        <f t="shared" si="35"/>
        <v>828030.30303030298</v>
      </c>
      <c r="H98" s="12">
        <f t="shared" si="35"/>
        <v>821502.59067357518</v>
      </c>
      <c r="I98" s="12">
        <f t="shared" si="35"/>
        <v>815542.52199413488</v>
      </c>
      <c r="J98" s="12">
        <f t="shared" si="35"/>
        <v>809166.66666666663</v>
      </c>
      <c r="K98" s="12">
        <f t="shared" si="35"/>
        <v>808787.87878787867</v>
      </c>
      <c r="L98" s="12">
        <f t="shared" si="35"/>
        <v>804923.07692307699</v>
      </c>
      <c r="M98" s="12">
        <f t="shared" si="35"/>
        <v>800840.33613445377</v>
      </c>
      <c r="N98" s="12">
        <f t="shared" si="35"/>
        <v>805301.20481927716</v>
      </c>
    </row>
    <row r="99" spans="1:14" x14ac:dyDescent="0.2">
      <c r="A99" s="10" t="s">
        <v>83</v>
      </c>
      <c r="B99" s="12">
        <f t="shared" si="35"/>
        <v>1561027.1903323266</v>
      </c>
      <c r="C99" s="12">
        <f t="shared" si="35"/>
        <v>1558530.1837270341</v>
      </c>
      <c r="D99" s="12">
        <f t="shared" si="35"/>
        <v>1554929.5774647887</v>
      </c>
      <c r="E99" s="12">
        <f t="shared" si="35"/>
        <v>1551762.1145374449</v>
      </c>
      <c r="F99" s="12">
        <f t="shared" si="35"/>
        <v>1556104.6511627906</v>
      </c>
      <c r="G99" s="12">
        <f t="shared" si="35"/>
        <v>1556976.7441860465</v>
      </c>
      <c r="H99" s="12">
        <f t="shared" si="35"/>
        <v>1552549.0196078431</v>
      </c>
      <c r="I99" s="12">
        <f t="shared" si="35"/>
        <v>1542035.3982300884</v>
      </c>
      <c r="J99" s="12">
        <f t="shared" si="35"/>
        <v>1531645.5696202531</v>
      </c>
      <c r="K99" s="12">
        <f t="shared" si="35"/>
        <v>1527027.027027027</v>
      </c>
      <c r="L99" s="12">
        <f t="shared" si="35"/>
        <v>1521296.2962962964</v>
      </c>
      <c r="M99" s="12">
        <f t="shared" si="35"/>
        <v>1521212.1212121211</v>
      </c>
      <c r="N99" s="12">
        <f t="shared" si="35"/>
        <v>1526937.2693726937</v>
      </c>
    </row>
    <row r="100" spans="1:14" x14ac:dyDescent="0.2">
      <c r="A100" s="10" t="s">
        <v>84</v>
      </c>
      <c r="B100" s="12">
        <f t="shared" si="35"/>
        <v>8667785.234899329</v>
      </c>
      <c r="C100" s="12">
        <f t="shared" si="35"/>
        <v>9402083.333333334</v>
      </c>
      <c r="D100" s="12">
        <f t="shared" si="35"/>
        <v>9505077.7202072535</v>
      </c>
      <c r="E100" s="12">
        <f t="shared" si="35"/>
        <v>9863056.0928433277</v>
      </c>
      <c r="F100" s="12">
        <f t="shared" si="35"/>
        <v>10496560.196560198</v>
      </c>
      <c r="G100" s="12">
        <f t="shared" si="35"/>
        <v>10754827.586206896</v>
      </c>
      <c r="H100" s="12">
        <f t="shared" si="35"/>
        <v>10605281.690140845</v>
      </c>
      <c r="I100" s="12">
        <f t="shared" si="35"/>
        <v>10432438.016528925</v>
      </c>
      <c r="J100" s="12">
        <f t="shared" si="35"/>
        <v>10223012.552301256</v>
      </c>
      <c r="K100" s="12">
        <f t="shared" si="35"/>
        <v>9884531.5904139429</v>
      </c>
      <c r="L100" s="12">
        <f t="shared" si="35"/>
        <v>9838630.8068459649</v>
      </c>
      <c r="M100" s="12">
        <f t="shared" si="35"/>
        <v>8740263.1578947362</v>
      </c>
      <c r="N100" s="12">
        <f t="shared" si="35"/>
        <v>9283734.9397590365</v>
      </c>
    </row>
    <row r="101" spans="1:14" x14ac:dyDescent="0.2">
      <c r="A101" s="9" t="s">
        <v>87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2">
      <c r="A102" s="10" t="s">
        <v>77</v>
      </c>
      <c r="B102" s="12">
        <f>43.4*10^6</f>
        <v>43400000</v>
      </c>
      <c r="C102" s="12">
        <v>45300000</v>
      </c>
      <c r="D102" s="12">
        <v>49100000</v>
      </c>
      <c r="E102" s="12">
        <v>52800000</v>
      </c>
      <c r="F102" s="12">
        <v>53700000</v>
      </c>
      <c r="G102" s="12">
        <v>50200000</v>
      </c>
      <c r="H102" s="12">
        <v>57000000</v>
      </c>
      <c r="I102" s="12">
        <v>61350000</v>
      </c>
      <c r="J102" s="12">
        <v>61230000</v>
      </c>
      <c r="K102" s="12">
        <v>73500000</v>
      </c>
      <c r="L102" s="12">
        <v>59900000</v>
      </c>
      <c r="M102" s="12">
        <v>59200000</v>
      </c>
      <c r="N102" s="12">
        <v>56600000</v>
      </c>
    </row>
    <row r="103" spans="1:14" x14ac:dyDescent="0.2">
      <c r="A103" s="10" t="s">
        <v>78</v>
      </c>
      <c r="B103" s="12">
        <f>47.9*10^6</f>
        <v>47900000</v>
      </c>
      <c r="C103" s="12">
        <v>51300000</v>
      </c>
      <c r="D103" s="12">
        <v>56800000</v>
      </c>
      <c r="E103" s="12">
        <v>61600000</v>
      </c>
      <c r="F103" s="12">
        <v>64800000</v>
      </c>
      <c r="G103" s="12">
        <v>60900000</v>
      </c>
      <c r="H103" s="12">
        <v>67200000</v>
      </c>
      <c r="I103" s="12">
        <v>69520000</v>
      </c>
      <c r="J103" s="12">
        <v>70270000</v>
      </c>
      <c r="K103" s="12">
        <v>79000000</v>
      </c>
      <c r="L103" s="12">
        <v>63200000</v>
      </c>
      <c r="M103" s="12">
        <v>60600000</v>
      </c>
      <c r="N103" s="12">
        <v>59700000</v>
      </c>
    </row>
    <row r="104" spans="1:14" x14ac:dyDescent="0.2">
      <c r="A104" s="10" t="s">
        <v>79</v>
      </c>
      <c r="B104" s="12">
        <f>17.6*10^6</f>
        <v>17600000</v>
      </c>
      <c r="C104" s="12">
        <v>19300000</v>
      </c>
      <c r="D104" s="12">
        <v>22000000</v>
      </c>
      <c r="E104" s="12">
        <v>24900000</v>
      </c>
      <c r="F104" s="12">
        <v>26900000</v>
      </c>
      <c r="G104" s="12">
        <v>22800000</v>
      </c>
      <c r="H104" s="12">
        <v>25100000</v>
      </c>
      <c r="I104" s="12">
        <v>25920000</v>
      </c>
      <c r="J104" s="12">
        <v>26710000</v>
      </c>
      <c r="K104" s="12">
        <v>30600000</v>
      </c>
      <c r="L104" s="12">
        <v>25000000</v>
      </c>
      <c r="M104" s="12">
        <v>24400000</v>
      </c>
      <c r="N104" s="12">
        <v>24900000</v>
      </c>
    </row>
    <row r="105" spans="1:14" x14ac:dyDescent="0.2">
      <c r="A105" s="10" t="s">
        <v>80</v>
      </c>
      <c r="B105" s="12">
        <f>62.1*10^6</f>
        <v>62100000</v>
      </c>
      <c r="C105" s="12">
        <v>71500000</v>
      </c>
      <c r="D105" s="12">
        <v>84100000</v>
      </c>
      <c r="E105" s="12">
        <v>93200000</v>
      </c>
      <c r="F105" s="12">
        <v>95100000</v>
      </c>
      <c r="G105" s="12">
        <v>71300000</v>
      </c>
      <c r="H105" s="12">
        <v>73600000</v>
      </c>
      <c r="I105" s="12">
        <v>71640000</v>
      </c>
      <c r="J105" s="12">
        <v>71050000</v>
      </c>
      <c r="K105" s="12">
        <v>72100000</v>
      </c>
      <c r="L105" s="12">
        <v>58000000</v>
      </c>
      <c r="M105" s="12">
        <v>55900000</v>
      </c>
      <c r="N105" s="12">
        <v>55700000</v>
      </c>
    </row>
    <row r="106" spans="1:14" x14ac:dyDescent="0.2">
      <c r="A106" s="10" t="s">
        <v>81</v>
      </c>
      <c r="B106" s="12">
        <f>278.9*10^6</f>
        <v>278900000</v>
      </c>
      <c r="C106" s="12">
        <v>333500000</v>
      </c>
      <c r="D106" s="12">
        <v>397400000</v>
      </c>
      <c r="E106" s="12">
        <v>439600000</v>
      </c>
      <c r="F106" s="12">
        <v>456400000</v>
      </c>
      <c r="G106" s="12">
        <v>293600000</v>
      </c>
      <c r="H106" s="12">
        <v>290300000</v>
      </c>
      <c r="I106" s="12">
        <v>282570000</v>
      </c>
      <c r="J106" s="12">
        <v>264640000</v>
      </c>
      <c r="K106" s="12">
        <v>266500000</v>
      </c>
      <c r="L106" s="12">
        <v>227200000</v>
      </c>
      <c r="M106" s="12">
        <v>218500000</v>
      </c>
      <c r="N106" s="12">
        <v>235000000</v>
      </c>
    </row>
    <row r="107" spans="1:14" x14ac:dyDescent="0.2">
      <c r="A107" s="10" t="s">
        <v>82</v>
      </c>
      <c r="B107" s="12">
        <f>251.6*10^6</f>
        <v>251600000</v>
      </c>
      <c r="C107" s="12">
        <v>299300000</v>
      </c>
      <c r="D107" s="12">
        <v>353200000</v>
      </c>
      <c r="E107" s="12">
        <v>381700000</v>
      </c>
      <c r="F107" s="12">
        <v>366300000</v>
      </c>
      <c r="G107" s="12">
        <v>220600000</v>
      </c>
      <c r="H107" s="12">
        <v>204800000</v>
      </c>
      <c r="I107" s="12">
        <v>198890000</v>
      </c>
      <c r="J107" s="12">
        <v>167940000</v>
      </c>
      <c r="K107" s="12">
        <v>175400000</v>
      </c>
      <c r="L107" s="12">
        <v>155300000</v>
      </c>
      <c r="M107" s="12">
        <v>144200000</v>
      </c>
      <c r="N107" s="12">
        <v>160400000</v>
      </c>
    </row>
    <row r="108" spans="1:14" x14ac:dyDescent="0.2">
      <c r="A108" s="10" t="s">
        <v>83</v>
      </c>
      <c r="B108" s="12">
        <f>371.5*10^6</f>
        <v>371500000</v>
      </c>
      <c r="C108" s="12">
        <v>428800000</v>
      </c>
      <c r="D108" s="12">
        <v>509400000</v>
      </c>
      <c r="E108" s="12">
        <v>545600000</v>
      </c>
      <c r="F108" s="12">
        <v>470100000</v>
      </c>
      <c r="G108" s="12">
        <v>270300000</v>
      </c>
      <c r="H108" s="12">
        <v>268600000</v>
      </c>
      <c r="I108" s="12">
        <v>252710000</v>
      </c>
      <c r="J108" s="12">
        <v>212390000</v>
      </c>
      <c r="K108" s="12">
        <v>232800000</v>
      </c>
      <c r="L108" s="12">
        <v>201900000</v>
      </c>
      <c r="M108" s="12">
        <v>182400000</v>
      </c>
      <c r="N108" s="12">
        <v>213800000</v>
      </c>
    </row>
    <row r="109" spans="1:14" x14ac:dyDescent="0.2">
      <c r="A109" s="10" t="s">
        <v>84</v>
      </c>
      <c r="B109" s="12">
        <f>5096.5*10^6</f>
        <v>5096500000</v>
      </c>
      <c r="C109" s="12">
        <v>6626400000</v>
      </c>
      <c r="D109" s="12">
        <v>7670100000</v>
      </c>
      <c r="E109" s="12">
        <v>8400600000</v>
      </c>
      <c r="F109" s="12">
        <v>6254100000</v>
      </c>
      <c r="G109" s="12">
        <v>3720700000</v>
      </c>
      <c r="H109" s="12">
        <v>3856700000</v>
      </c>
      <c r="I109" s="12">
        <v>3356900000</v>
      </c>
      <c r="J109" s="12">
        <v>2996740000</v>
      </c>
      <c r="K109" s="12">
        <v>2930700000</v>
      </c>
      <c r="L109" s="12">
        <v>2523900000</v>
      </c>
      <c r="M109" s="12">
        <v>1778300000</v>
      </c>
      <c r="N109" s="12">
        <v>2952100000</v>
      </c>
    </row>
    <row r="110" spans="1:14" x14ac:dyDescent="0.2">
      <c r="A110" s="9" t="s">
        <v>88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x14ac:dyDescent="0.2">
      <c r="A111" s="10" t="s">
        <v>77</v>
      </c>
      <c r="B111" s="8">
        <v>2876</v>
      </c>
      <c r="C111" s="8">
        <v>2931</v>
      </c>
      <c r="D111" s="8">
        <v>3117</v>
      </c>
      <c r="E111" s="8">
        <v>3267</v>
      </c>
      <c r="F111" s="8">
        <v>3270</v>
      </c>
      <c r="G111" s="8">
        <v>3212</v>
      </c>
      <c r="H111" s="8">
        <v>3673</v>
      </c>
      <c r="I111" s="8">
        <v>3968</v>
      </c>
      <c r="J111" s="8">
        <v>3968</v>
      </c>
      <c r="K111" s="8">
        <v>4762</v>
      </c>
      <c r="L111" s="8">
        <v>3883</v>
      </c>
      <c r="M111" s="8">
        <v>3845</v>
      </c>
      <c r="N111" s="8">
        <v>3659</v>
      </c>
    </row>
    <row r="112" spans="1:14" x14ac:dyDescent="0.2">
      <c r="A112" s="10" t="s">
        <v>78</v>
      </c>
      <c r="B112" s="8">
        <v>1111</v>
      </c>
      <c r="C112" s="8">
        <v>1177</v>
      </c>
      <c r="D112" s="8">
        <v>1295</v>
      </c>
      <c r="E112" s="8">
        <v>1396</v>
      </c>
      <c r="F112" s="8">
        <v>1469</v>
      </c>
      <c r="G112" s="8">
        <v>1408</v>
      </c>
      <c r="H112" s="8">
        <v>1557</v>
      </c>
      <c r="I112" s="8">
        <v>1618</v>
      </c>
      <c r="J112" s="8">
        <v>1637</v>
      </c>
      <c r="K112" s="8">
        <v>1851</v>
      </c>
      <c r="L112" s="8">
        <v>1486</v>
      </c>
      <c r="M112" s="8">
        <v>1429</v>
      </c>
      <c r="N112" s="8">
        <v>1409</v>
      </c>
    </row>
    <row r="113" spans="1:14" x14ac:dyDescent="0.2">
      <c r="A113" s="10" t="s">
        <v>79</v>
      </c>
      <c r="B113" s="8">
        <v>262</v>
      </c>
      <c r="C113" s="8">
        <v>284</v>
      </c>
      <c r="D113" s="8">
        <v>322</v>
      </c>
      <c r="E113" s="8">
        <v>361</v>
      </c>
      <c r="F113" s="8">
        <v>391</v>
      </c>
      <c r="G113" s="8">
        <v>341</v>
      </c>
      <c r="H113" s="8">
        <v>375</v>
      </c>
      <c r="I113" s="8">
        <v>387</v>
      </c>
      <c r="J113" s="8">
        <v>400</v>
      </c>
      <c r="K113" s="8">
        <v>457</v>
      </c>
      <c r="L113" s="8">
        <v>374</v>
      </c>
      <c r="M113" s="8">
        <v>364</v>
      </c>
      <c r="N113" s="8">
        <v>372</v>
      </c>
    </row>
    <row r="114" spans="1:14" x14ac:dyDescent="0.2">
      <c r="A114" s="10" t="s">
        <v>80</v>
      </c>
      <c r="B114" s="8">
        <v>632</v>
      </c>
      <c r="C114" s="8">
        <v>725</v>
      </c>
      <c r="D114" s="8">
        <v>852</v>
      </c>
      <c r="E114" s="8">
        <v>944</v>
      </c>
      <c r="F114" s="8">
        <v>964</v>
      </c>
      <c r="G114" s="8">
        <v>727</v>
      </c>
      <c r="H114" s="8">
        <v>752</v>
      </c>
      <c r="I114" s="8">
        <v>733</v>
      </c>
      <c r="J114" s="8">
        <v>727</v>
      </c>
      <c r="K114" s="8">
        <v>740</v>
      </c>
      <c r="L114" s="8">
        <v>596</v>
      </c>
      <c r="M114" s="8">
        <v>574</v>
      </c>
      <c r="N114" s="8">
        <v>573</v>
      </c>
    </row>
    <row r="115" spans="1:14" x14ac:dyDescent="0.2">
      <c r="A115" s="10" t="s">
        <v>81</v>
      </c>
      <c r="B115" s="8">
        <v>1042</v>
      </c>
      <c r="C115" s="8">
        <v>1241</v>
      </c>
      <c r="D115" s="8">
        <v>1467</v>
      </c>
      <c r="E115" s="8">
        <v>1638</v>
      </c>
      <c r="F115" s="8">
        <v>1718</v>
      </c>
      <c r="G115" s="8">
        <v>1140</v>
      </c>
      <c r="H115" s="8">
        <v>1144</v>
      </c>
      <c r="I115" s="8">
        <v>1126</v>
      </c>
      <c r="J115" s="8">
        <v>1074</v>
      </c>
      <c r="K115" s="8">
        <v>1101</v>
      </c>
      <c r="L115" s="8">
        <v>928</v>
      </c>
      <c r="M115" s="8">
        <v>895</v>
      </c>
      <c r="N115" s="8">
        <v>955</v>
      </c>
    </row>
    <row r="116" spans="1:14" x14ac:dyDescent="0.2">
      <c r="A116" s="10" t="s">
        <v>82</v>
      </c>
      <c r="B116" s="8">
        <v>299</v>
      </c>
      <c r="C116" s="8">
        <v>359</v>
      </c>
      <c r="D116" s="8">
        <v>427</v>
      </c>
      <c r="E116" s="8">
        <v>463</v>
      </c>
      <c r="F116" s="8">
        <v>443</v>
      </c>
      <c r="G116" s="8">
        <v>264</v>
      </c>
      <c r="H116" s="8">
        <v>247</v>
      </c>
      <c r="I116" s="8">
        <v>240</v>
      </c>
      <c r="J116" s="8">
        <v>205</v>
      </c>
      <c r="K116" s="8">
        <v>213</v>
      </c>
      <c r="L116" s="8">
        <v>190</v>
      </c>
      <c r="M116" s="8">
        <v>177</v>
      </c>
      <c r="N116" s="8">
        <v>196</v>
      </c>
    </row>
    <row r="117" spans="1:14" x14ac:dyDescent="0.2">
      <c r="A117" s="10" t="s">
        <v>83</v>
      </c>
      <c r="B117" s="8">
        <v>238</v>
      </c>
      <c r="C117" s="8">
        <v>275</v>
      </c>
      <c r="D117" s="8">
        <v>327</v>
      </c>
      <c r="E117" s="8">
        <v>352</v>
      </c>
      <c r="F117" s="8">
        <v>303</v>
      </c>
      <c r="G117" s="8">
        <v>173</v>
      </c>
      <c r="H117" s="8">
        <v>173</v>
      </c>
      <c r="I117" s="8">
        <v>163</v>
      </c>
      <c r="J117" s="8">
        <v>138</v>
      </c>
      <c r="K117" s="8">
        <v>151</v>
      </c>
      <c r="L117" s="8">
        <v>132</v>
      </c>
      <c r="M117" s="8">
        <v>119</v>
      </c>
      <c r="N117" s="8">
        <v>139</v>
      </c>
    </row>
    <row r="118" spans="1:14" x14ac:dyDescent="0.2">
      <c r="A118" s="10" t="s">
        <v>84</v>
      </c>
      <c r="B118" s="8">
        <v>564</v>
      </c>
      <c r="C118" s="8">
        <v>670</v>
      </c>
      <c r="D118" s="8">
        <v>786</v>
      </c>
      <c r="E118" s="8">
        <v>843</v>
      </c>
      <c r="F118" s="8">
        <v>640</v>
      </c>
      <c r="G118" s="8">
        <v>367</v>
      </c>
      <c r="H118" s="8">
        <v>388</v>
      </c>
      <c r="I118" s="8">
        <v>344</v>
      </c>
      <c r="J118" s="8">
        <v>302</v>
      </c>
      <c r="K118" s="8">
        <v>320</v>
      </c>
      <c r="L118" s="8">
        <v>268</v>
      </c>
      <c r="M118" s="8">
        <v>214</v>
      </c>
      <c r="N118" s="8">
        <v>305</v>
      </c>
    </row>
    <row r="119" spans="1:14" x14ac:dyDescent="0.2">
      <c r="A119" s="9" t="s">
        <v>95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x14ac:dyDescent="0.2">
      <c r="A120" s="10" t="s">
        <v>77</v>
      </c>
      <c r="B120" s="12">
        <f>B102/B111</f>
        <v>15090.403337969403</v>
      </c>
      <c r="C120" s="12">
        <f>C102/C111</f>
        <v>15455.475946775845</v>
      </c>
      <c r="D120" s="12">
        <f t="shared" ref="D120:N120" si="36">D102/D111</f>
        <v>15752.325954443375</v>
      </c>
      <c r="E120" s="12">
        <f t="shared" si="36"/>
        <v>16161.616161616161</v>
      </c>
      <c r="F120" s="12">
        <f t="shared" si="36"/>
        <v>16422.018348623853</v>
      </c>
      <c r="G120" s="12">
        <f t="shared" si="36"/>
        <v>15628.891656288917</v>
      </c>
      <c r="H120" s="12">
        <f t="shared" si="36"/>
        <v>15518.649605227334</v>
      </c>
      <c r="I120" s="12">
        <f t="shared" si="36"/>
        <v>15461.189516129032</v>
      </c>
      <c r="J120" s="12">
        <f t="shared" si="36"/>
        <v>15430.947580645161</v>
      </c>
      <c r="K120" s="12">
        <f t="shared" si="36"/>
        <v>15434.691306173876</v>
      </c>
      <c r="L120" s="12">
        <f t="shared" si="36"/>
        <v>15426.216842647438</v>
      </c>
      <c r="M120" s="12">
        <f t="shared" si="36"/>
        <v>15396.618985695708</v>
      </c>
      <c r="N120" s="12">
        <f t="shared" si="36"/>
        <v>15468.707297075704</v>
      </c>
    </row>
    <row r="121" spans="1:14" x14ac:dyDescent="0.2">
      <c r="A121" s="10" t="s">
        <v>78</v>
      </c>
      <c r="B121" s="12">
        <f t="shared" ref="B121:N127" si="37">B103/B112</f>
        <v>43114.311431143113</v>
      </c>
      <c r="C121" s="12">
        <f t="shared" si="37"/>
        <v>43585.386576040779</v>
      </c>
      <c r="D121" s="12">
        <f t="shared" si="37"/>
        <v>43861.003861003861</v>
      </c>
      <c r="E121" s="12">
        <f t="shared" si="37"/>
        <v>44126.074498567337</v>
      </c>
      <c r="F121" s="12">
        <f t="shared" si="37"/>
        <v>44111.640571817567</v>
      </c>
      <c r="G121" s="12">
        <f t="shared" si="37"/>
        <v>43252.840909090912</v>
      </c>
      <c r="H121" s="12">
        <f t="shared" si="37"/>
        <v>43159.922928709057</v>
      </c>
      <c r="I121" s="12">
        <f t="shared" si="37"/>
        <v>42966.625463535231</v>
      </c>
      <c r="J121" s="12">
        <f t="shared" si="37"/>
        <v>42926.084300549788</v>
      </c>
      <c r="K121" s="12">
        <f t="shared" si="37"/>
        <v>42679.632631010267</v>
      </c>
      <c r="L121" s="12">
        <f t="shared" si="37"/>
        <v>42530.282637954238</v>
      </c>
      <c r="M121" s="12">
        <f t="shared" si="37"/>
        <v>42407.277816655005</v>
      </c>
      <c r="N121" s="12">
        <f t="shared" si="37"/>
        <v>42370.475514549325</v>
      </c>
    </row>
    <row r="122" spans="1:14" x14ac:dyDescent="0.2">
      <c r="A122" s="10" t="s">
        <v>79</v>
      </c>
      <c r="B122" s="12">
        <f t="shared" si="37"/>
        <v>67175.572519083973</v>
      </c>
      <c r="C122" s="12">
        <f t="shared" si="37"/>
        <v>67957.746478873232</v>
      </c>
      <c r="D122" s="12">
        <f t="shared" si="37"/>
        <v>68322.981366459629</v>
      </c>
      <c r="E122" s="12">
        <f t="shared" si="37"/>
        <v>68975.069252077563</v>
      </c>
      <c r="F122" s="12">
        <f t="shared" si="37"/>
        <v>68797.95396419437</v>
      </c>
      <c r="G122" s="12">
        <f t="shared" si="37"/>
        <v>66862.170087976541</v>
      </c>
      <c r="H122" s="12">
        <f t="shared" si="37"/>
        <v>66933.333333333328</v>
      </c>
      <c r="I122" s="12">
        <f t="shared" si="37"/>
        <v>66976.744186046519</v>
      </c>
      <c r="J122" s="12">
        <f t="shared" si="37"/>
        <v>66775</v>
      </c>
      <c r="K122" s="12">
        <f t="shared" si="37"/>
        <v>66958.424507658638</v>
      </c>
      <c r="L122" s="12">
        <f t="shared" si="37"/>
        <v>66844.919786096259</v>
      </c>
      <c r="M122" s="12">
        <f t="shared" si="37"/>
        <v>67032.967032967033</v>
      </c>
      <c r="N122" s="12">
        <f t="shared" si="37"/>
        <v>66935.483870967742</v>
      </c>
    </row>
    <row r="123" spans="1:14" x14ac:dyDescent="0.2">
      <c r="A123" s="10" t="s">
        <v>80</v>
      </c>
      <c r="B123" s="12">
        <f t="shared" si="37"/>
        <v>98259.493670886077</v>
      </c>
      <c r="C123" s="12">
        <f t="shared" si="37"/>
        <v>98620.68965517242</v>
      </c>
      <c r="D123" s="12">
        <f t="shared" si="37"/>
        <v>98708.920187793425</v>
      </c>
      <c r="E123" s="12">
        <f t="shared" si="37"/>
        <v>98728.813559322036</v>
      </c>
      <c r="F123" s="12">
        <f t="shared" si="37"/>
        <v>98651.452282157683</v>
      </c>
      <c r="G123" s="12">
        <f t="shared" si="37"/>
        <v>98074.27785419533</v>
      </c>
      <c r="H123" s="12">
        <f t="shared" si="37"/>
        <v>97872.340425531918</v>
      </c>
      <c r="I123" s="12">
        <f t="shared" si="37"/>
        <v>97735.334242837649</v>
      </c>
      <c r="J123" s="12">
        <f t="shared" si="37"/>
        <v>97730.398899587351</v>
      </c>
      <c r="K123" s="12">
        <f t="shared" si="37"/>
        <v>97432.432432432426</v>
      </c>
      <c r="L123" s="12">
        <f t="shared" si="37"/>
        <v>97315.436241610732</v>
      </c>
      <c r="M123" s="12">
        <f t="shared" si="37"/>
        <v>97386.759581881532</v>
      </c>
      <c r="N123" s="12">
        <f t="shared" si="37"/>
        <v>97207.678883071552</v>
      </c>
    </row>
    <row r="124" spans="1:14" x14ac:dyDescent="0.2">
      <c r="A124" s="10" t="s">
        <v>81</v>
      </c>
      <c r="B124" s="12">
        <f t="shared" si="37"/>
        <v>267658.34932821494</v>
      </c>
      <c r="C124" s="12">
        <f t="shared" si="37"/>
        <v>268734.89121676068</v>
      </c>
      <c r="D124" s="12">
        <f t="shared" si="37"/>
        <v>270892.97886843898</v>
      </c>
      <c r="E124" s="12">
        <f t="shared" si="37"/>
        <v>268376.06837606838</v>
      </c>
      <c r="F124" s="12">
        <f t="shared" si="37"/>
        <v>265657.74155995343</v>
      </c>
      <c r="G124" s="12">
        <f t="shared" si="37"/>
        <v>257543.85964912281</v>
      </c>
      <c r="H124" s="12">
        <f t="shared" si="37"/>
        <v>253758.74125874127</v>
      </c>
      <c r="I124" s="12">
        <f t="shared" si="37"/>
        <v>250950.26642984015</v>
      </c>
      <c r="J124" s="12">
        <f t="shared" si="37"/>
        <v>246405.95903165734</v>
      </c>
      <c r="K124" s="12">
        <f t="shared" si="37"/>
        <v>242052.67938237966</v>
      </c>
      <c r="L124" s="12">
        <f t="shared" si="37"/>
        <v>244827.58620689655</v>
      </c>
      <c r="M124" s="12">
        <f t="shared" si="37"/>
        <v>244134.07821229051</v>
      </c>
      <c r="N124" s="12">
        <f t="shared" si="37"/>
        <v>246073.29842931937</v>
      </c>
    </row>
    <row r="125" spans="1:14" x14ac:dyDescent="0.2">
      <c r="A125" s="10" t="s">
        <v>82</v>
      </c>
      <c r="B125" s="12">
        <f t="shared" si="37"/>
        <v>841471.57190635451</v>
      </c>
      <c r="C125" s="12">
        <f t="shared" si="37"/>
        <v>833704.73537604453</v>
      </c>
      <c r="D125" s="12">
        <f t="shared" si="37"/>
        <v>827166.27634660422</v>
      </c>
      <c r="E125" s="12">
        <f t="shared" si="37"/>
        <v>824406.04751619871</v>
      </c>
      <c r="F125" s="12">
        <f t="shared" si="37"/>
        <v>826862.30248306994</v>
      </c>
      <c r="G125" s="12">
        <f t="shared" si="37"/>
        <v>835606.06060606055</v>
      </c>
      <c r="H125" s="12">
        <f t="shared" si="37"/>
        <v>829149.79757085023</v>
      </c>
      <c r="I125" s="12">
        <f t="shared" si="37"/>
        <v>828708.33333333337</v>
      </c>
      <c r="J125" s="12">
        <f t="shared" si="37"/>
        <v>819219.51219512196</v>
      </c>
      <c r="K125" s="12">
        <f t="shared" si="37"/>
        <v>823474.17840375588</v>
      </c>
      <c r="L125" s="12">
        <f t="shared" si="37"/>
        <v>817368.42105263157</v>
      </c>
      <c r="M125" s="12">
        <f t="shared" si="37"/>
        <v>814689.26553672319</v>
      </c>
      <c r="N125" s="12">
        <f t="shared" si="37"/>
        <v>818367.3469387755</v>
      </c>
    </row>
    <row r="126" spans="1:14" x14ac:dyDescent="0.2">
      <c r="A126" s="10" t="s">
        <v>83</v>
      </c>
      <c r="B126" s="12">
        <f t="shared" si="37"/>
        <v>1560924.3697478992</v>
      </c>
      <c r="C126" s="12">
        <f t="shared" si="37"/>
        <v>1559272.7272727273</v>
      </c>
      <c r="D126" s="12">
        <f t="shared" si="37"/>
        <v>1557798.1651376146</v>
      </c>
      <c r="E126" s="12">
        <f t="shared" si="37"/>
        <v>1550000</v>
      </c>
      <c r="F126" s="12">
        <f t="shared" si="37"/>
        <v>1551485.1485148515</v>
      </c>
      <c r="G126" s="12">
        <f t="shared" si="37"/>
        <v>1562427.74566474</v>
      </c>
      <c r="H126" s="12">
        <f t="shared" si="37"/>
        <v>1552601.1560693642</v>
      </c>
      <c r="I126" s="12">
        <f t="shared" si="37"/>
        <v>1550368.0981595092</v>
      </c>
      <c r="J126" s="12">
        <f t="shared" si="37"/>
        <v>1539057.9710144927</v>
      </c>
      <c r="K126" s="12">
        <f t="shared" si="37"/>
        <v>1541721.8543046357</v>
      </c>
      <c r="L126" s="12">
        <f t="shared" si="37"/>
        <v>1529545.4545454546</v>
      </c>
      <c r="M126" s="12">
        <f t="shared" si="37"/>
        <v>1532773.1092436975</v>
      </c>
      <c r="N126" s="12">
        <f t="shared" si="37"/>
        <v>1538129.4964028776</v>
      </c>
    </row>
    <row r="127" spans="1:14" x14ac:dyDescent="0.2">
      <c r="A127" s="10" t="s">
        <v>84</v>
      </c>
      <c r="B127" s="12">
        <f t="shared" si="37"/>
        <v>9036347.5177304968</v>
      </c>
      <c r="C127" s="12">
        <f t="shared" si="37"/>
        <v>9890149.2537313439</v>
      </c>
      <c r="D127" s="12">
        <f t="shared" si="37"/>
        <v>9758396.9465648849</v>
      </c>
      <c r="E127" s="12">
        <f t="shared" si="37"/>
        <v>9965124.5551601425</v>
      </c>
      <c r="F127" s="12">
        <f t="shared" si="37"/>
        <v>9772031.25</v>
      </c>
      <c r="G127" s="12">
        <f t="shared" si="37"/>
        <v>10138147.138964579</v>
      </c>
      <c r="H127" s="12">
        <f t="shared" si="37"/>
        <v>9939948.4536082465</v>
      </c>
      <c r="I127" s="12">
        <f t="shared" si="37"/>
        <v>9758430.2325581387</v>
      </c>
      <c r="J127" s="12">
        <f t="shared" si="37"/>
        <v>9922980.132450331</v>
      </c>
      <c r="K127" s="12">
        <f t="shared" si="37"/>
        <v>9158437.5</v>
      </c>
      <c r="L127" s="12">
        <f t="shared" si="37"/>
        <v>9417537.313432835</v>
      </c>
      <c r="M127" s="12">
        <f t="shared" si="37"/>
        <v>8309813.0841121497</v>
      </c>
      <c r="N127" s="12">
        <f t="shared" si="37"/>
        <v>9679016.3934426233</v>
      </c>
    </row>
    <row r="128" spans="1:14" x14ac:dyDescent="0.2">
      <c r="A128" s="9" t="s">
        <v>89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x14ac:dyDescent="0.2">
      <c r="A129" s="10" t="s">
        <v>77</v>
      </c>
      <c r="B129" s="12">
        <v>37000000</v>
      </c>
      <c r="C129" s="12">
        <v>39000000</v>
      </c>
      <c r="D129" s="12">
        <v>55500000</v>
      </c>
      <c r="E129" s="12">
        <v>60700000</v>
      </c>
      <c r="F129" s="12">
        <v>79900000</v>
      </c>
      <c r="G129" s="12">
        <v>85600000</v>
      </c>
      <c r="H129" s="12">
        <v>94700000</v>
      </c>
      <c r="I129" s="12">
        <v>102400000</v>
      </c>
      <c r="J129" s="12">
        <v>103500000</v>
      </c>
      <c r="K129" s="12">
        <v>114600000</v>
      </c>
      <c r="L129" s="12">
        <v>97000000</v>
      </c>
      <c r="M129" s="12">
        <v>107800000</v>
      </c>
      <c r="N129" s="12">
        <v>111900000</v>
      </c>
    </row>
    <row r="130" spans="1:14" x14ac:dyDescent="0.2">
      <c r="A130" s="10" t="s">
        <v>78</v>
      </c>
      <c r="B130" s="12">
        <v>47800000</v>
      </c>
      <c r="C130" s="12">
        <v>51800000</v>
      </c>
      <c r="D130" s="12">
        <v>75600000</v>
      </c>
      <c r="E130" s="12">
        <v>81900000</v>
      </c>
      <c r="F130" s="12">
        <v>106200000</v>
      </c>
      <c r="G130" s="12">
        <v>102400000</v>
      </c>
      <c r="H130" s="12">
        <v>109100000</v>
      </c>
      <c r="I130" s="12">
        <v>111400000</v>
      </c>
      <c r="J130" s="12">
        <v>117600000</v>
      </c>
      <c r="K130" s="12">
        <v>123200000</v>
      </c>
      <c r="L130" s="12">
        <v>104400000</v>
      </c>
      <c r="M130" s="12">
        <v>117700000</v>
      </c>
      <c r="N130" s="12">
        <v>125700000</v>
      </c>
    </row>
    <row r="131" spans="1:14" x14ac:dyDescent="0.2">
      <c r="A131" s="10" t="s">
        <v>79</v>
      </c>
      <c r="B131" s="12">
        <v>19800000</v>
      </c>
      <c r="C131" s="12">
        <v>20700000</v>
      </c>
      <c r="D131" s="12">
        <v>29000000</v>
      </c>
      <c r="E131" s="12">
        <v>31500000</v>
      </c>
      <c r="F131" s="12">
        <v>37100000</v>
      </c>
      <c r="G131" s="12">
        <v>34400000</v>
      </c>
      <c r="H131" s="12">
        <v>37500000</v>
      </c>
      <c r="I131" s="12">
        <v>38400000</v>
      </c>
      <c r="J131" s="12">
        <v>43200000</v>
      </c>
      <c r="K131" s="12">
        <v>45400000</v>
      </c>
      <c r="L131" s="12">
        <v>39000000</v>
      </c>
      <c r="M131" s="12">
        <v>43600000</v>
      </c>
      <c r="N131" s="12">
        <v>46600000</v>
      </c>
    </row>
    <row r="132" spans="1:14" x14ac:dyDescent="0.2">
      <c r="A132" s="10" t="s">
        <v>80</v>
      </c>
      <c r="B132" s="12">
        <v>63600000</v>
      </c>
      <c r="C132" s="12">
        <v>66700000</v>
      </c>
      <c r="D132" s="12">
        <v>98500000</v>
      </c>
      <c r="E132" s="12">
        <v>109500000</v>
      </c>
      <c r="F132" s="12">
        <v>133900000</v>
      </c>
      <c r="G132" s="12">
        <v>107700000</v>
      </c>
      <c r="H132" s="12">
        <v>110800000</v>
      </c>
      <c r="I132" s="12">
        <v>106400000</v>
      </c>
      <c r="J132" s="12">
        <v>112800000</v>
      </c>
      <c r="K132" s="12">
        <v>109900000</v>
      </c>
      <c r="L132" s="12">
        <v>94100000</v>
      </c>
      <c r="M132" s="12">
        <v>105100000</v>
      </c>
      <c r="N132" s="12">
        <v>111300000</v>
      </c>
    </row>
    <row r="133" spans="1:14" x14ac:dyDescent="0.2">
      <c r="A133" s="10" t="s">
        <v>81</v>
      </c>
      <c r="B133" s="12">
        <v>375200000</v>
      </c>
      <c r="C133" s="12">
        <v>389500000</v>
      </c>
      <c r="D133" s="12">
        <v>493000000</v>
      </c>
      <c r="E133" s="12">
        <v>537400000</v>
      </c>
      <c r="F133" s="12">
        <v>611000000</v>
      </c>
      <c r="G133" s="12">
        <v>494500000</v>
      </c>
      <c r="H133" s="12">
        <v>491100000</v>
      </c>
      <c r="I133" s="12">
        <v>471900000</v>
      </c>
      <c r="J133" s="12">
        <v>517100000</v>
      </c>
      <c r="K133" s="12">
        <v>478500000</v>
      </c>
      <c r="L133" s="12">
        <v>455900000</v>
      </c>
      <c r="M133" s="12">
        <v>491300000</v>
      </c>
      <c r="N133" s="12">
        <v>499900000</v>
      </c>
    </row>
    <row r="134" spans="1:14" x14ac:dyDescent="0.2">
      <c r="A134" s="10" t="s">
        <v>82</v>
      </c>
      <c r="B134" s="12">
        <v>212900000</v>
      </c>
      <c r="C134" s="12">
        <v>241500000</v>
      </c>
      <c r="D134" s="12">
        <v>329400000</v>
      </c>
      <c r="E134" s="12">
        <v>350500000</v>
      </c>
      <c r="F134" s="12">
        <v>369200000</v>
      </c>
      <c r="G134" s="12">
        <v>314000000</v>
      </c>
      <c r="H134" s="12">
        <v>291500000</v>
      </c>
      <c r="I134" s="12">
        <v>271200000</v>
      </c>
      <c r="J134" s="12">
        <v>297700000</v>
      </c>
      <c r="K134" s="12">
        <v>266700000</v>
      </c>
      <c r="L134" s="12">
        <v>273400000</v>
      </c>
      <c r="M134" s="12">
        <v>286600000</v>
      </c>
      <c r="N134" s="12">
        <v>277800000</v>
      </c>
    </row>
    <row r="135" spans="1:14" x14ac:dyDescent="0.2">
      <c r="A135" s="10" t="s">
        <v>83</v>
      </c>
      <c r="B135" s="12">
        <v>199500000</v>
      </c>
      <c r="C135" s="12">
        <v>252200000</v>
      </c>
      <c r="D135" s="12">
        <v>375500000</v>
      </c>
      <c r="E135" s="12">
        <v>387000000</v>
      </c>
      <c r="F135" s="12">
        <v>354700000</v>
      </c>
      <c r="G135" s="12">
        <v>281100000</v>
      </c>
      <c r="H135" s="12">
        <v>262500000</v>
      </c>
      <c r="I135" s="12">
        <v>240700000</v>
      </c>
      <c r="J135" s="12">
        <v>269600000</v>
      </c>
      <c r="K135" s="12">
        <v>252200000</v>
      </c>
      <c r="L135" s="12">
        <v>258500000</v>
      </c>
      <c r="M135" s="12">
        <v>255900000</v>
      </c>
      <c r="N135" s="12">
        <v>256100000.00000003</v>
      </c>
    </row>
    <row r="136" spans="1:14" x14ac:dyDescent="0.2">
      <c r="A136" s="10" t="s">
        <v>84</v>
      </c>
      <c r="B136" s="12">
        <v>868600000</v>
      </c>
      <c r="C136" s="12">
        <v>1366700000</v>
      </c>
      <c r="D136" s="12">
        <v>2307900000</v>
      </c>
      <c r="E136" s="12">
        <v>2443000000</v>
      </c>
      <c r="F136" s="12">
        <v>1555100000</v>
      </c>
      <c r="G136" s="12">
        <v>862000000</v>
      </c>
      <c r="H136" s="12">
        <v>874100000</v>
      </c>
      <c r="I136" s="12">
        <v>745870000</v>
      </c>
      <c r="J136" s="12">
        <v>1040400000.0000001</v>
      </c>
      <c r="K136" s="12">
        <v>1073300000</v>
      </c>
      <c r="L136" s="12">
        <v>958100000</v>
      </c>
      <c r="M136" s="12">
        <v>850700000</v>
      </c>
      <c r="N136" s="12">
        <v>989500000</v>
      </c>
    </row>
    <row r="137" spans="1:14" x14ac:dyDescent="0.2">
      <c r="A137" s="9" t="s">
        <v>90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x14ac:dyDescent="0.2">
      <c r="A138" s="10" t="s">
        <v>77</v>
      </c>
      <c r="B138" s="8">
        <v>2287</v>
      </c>
      <c r="C138" s="8">
        <v>2385</v>
      </c>
      <c r="D138" s="8">
        <v>3295</v>
      </c>
      <c r="E138" s="8">
        <v>3568</v>
      </c>
      <c r="F138" s="8">
        <v>4751</v>
      </c>
      <c r="G138" s="8">
        <v>5142</v>
      </c>
      <c r="H138" s="8">
        <v>5737</v>
      </c>
      <c r="I138" s="8">
        <v>6287</v>
      </c>
      <c r="J138" s="8">
        <v>6344</v>
      </c>
      <c r="K138" s="8">
        <v>7104</v>
      </c>
      <c r="L138" s="8">
        <v>6150</v>
      </c>
      <c r="M138" s="8">
        <v>6743</v>
      </c>
      <c r="N138" s="8">
        <v>6983</v>
      </c>
    </row>
    <row r="139" spans="1:14" x14ac:dyDescent="0.2">
      <c r="A139" s="10" t="s">
        <v>78</v>
      </c>
      <c r="B139" s="8">
        <v>1114</v>
      </c>
      <c r="C139" s="8">
        <v>1204</v>
      </c>
      <c r="D139" s="8">
        <v>1734</v>
      </c>
      <c r="E139" s="8">
        <v>1868</v>
      </c>
      <c r="F139" s="8">
        <v>2422</v>
      </c>
      <c r="G139" s="8">
        <v>2363</v>
      </c>
      <c r="H139" s="8">
        <v>2528</v>
      </c>
      <c r="I139" s="8">
        <v>2596</v>
      </c>
      <c r="J139" s="8">
        <v>2751</v>
      </c>
      <c r="K139" s="8">
        <v>2892</v>
      </c>
      <c r="L139" s="8">
        <v>2454</v>
      </c>
      <c r="M139" s="8">
        <v>2771</v>
      </c>
      <c r="N139" s="8">
        <v>2957</v>
      </c>
    </row>
    <row r="140" spans="1:14" x14ac:dyDescent="0.2">
      <c r="A140" s="10" t="s">
        <v>79</v>
      </c>
      <c r="B140" s="8">
        <v>298</v>
      </c>
      <c r="C140" s="8">
        <v>311</v>
      </c>
      <c r="D140" s="8">
        <v>430</v>
      </c>
      <c r="E140" s="8">
        <v>465</v>
      </c>
      <c r="F140" s="8">
        <v>551</v>
      </c>
      <c r="G140" s="8">
        <v>516</v>
      </c>
      <c r="H140" s="8">
        <v>561</v>
      </c>
      <c r="I140" s="8">
        <v>578</v>
      </c>
      <c r="J140" s="8">
        <v>650</v>
      </c>
      <c r="K140" s="8">
        <v>683</v>
      </c>
      <c r="L140" s="8">
        <v>587</v>
      </c>
      <c r="M140" s="8">
        <v>656</v>
      </c>
      <c r="N140" s="8">
        <v>702</v>
      </c>
    </row>
    <row r="141" spans="1:14" x14ac:dyDescent="0.2">
      <c r="A141" s="10" t="s">
        <v>80</v>
      </c>
      <c r="B141" s="8">
        <v>650</v>
      </c>
      <c r="C141" s="8">
        <v>682</v>
      </c>
      <c r="D141" s="8">
        <v>1002</v>
      </c>
      <c r="E141" s="8">
        <v>1113</v>
      </c>
      <c r="F141" s="8">
        <v>1362</v>
      </c>
      <c r="G141" s="8">
        <v>1099</v>
      </c>
      <c r="H141" s="8">
        <v>1132</v>
      </c>
      <c r="I141" s="8">
        <v>1089</v>
      </c>
      <c r="J141" s="8">
        <v>1158</v>
      </c>
      <c r="K141" s="8">
        <v>1129</v>
      </c>
      <c r="L141" s="8">
        <v>967</v>
      </c>
      <c r="M141" s="8">
        <v>1080</v>
      </c>
      <c r="N141" s="8">
        <v>1145</v>
      </c>
    </row>
    <row r="142" spans="1:14" x14ac:dyDescent="0.2">
      <c r="A142" s="10" t="s">
        <v>81</v>
      </c>
      <c r="B142" s="8">
        <v>1438</v>
      </c>
      <c r="C142" s="8">
        <v>1485</v>
      </c>
      <c r="D142" s="8">
        <v>1870</v>
      </c>
      <c r="E142" s="8">
        <v>2033</v>
      </c>
      <c r="F142" s="8">
        <v>2292</v>
      </c>
      <c r="G142" s="8">
        <v>1863</v>
      </c>
      <c r="H142" s="8">
        <v>1885</v>
      </c>
      <c r="I142" s="8">
        <v>1828</v>
      </c>
      <c r="J142" s="8">
        <v>2018</v>
      </c>
      <c r="K142" s="8">
        <v>1905</v>
      </c>
      <c r="L142" s="8">
        <v>1790</v>
      </c>
      <c r="M142" s="8">
        <v>1936</v>
      </c>
      <c r="N142" s="8">
        <v>1988</v>
      </c>
    </row>
    <row r="143" spans="1:14" x14ac:dyDescent="0.2">
      <c r="A143" s="10" t="s">
        <v>82</v>
      </c>
      <c r="B143" s="8">
        <v>268</v>
      </c>
      <c r="C143" s="8">
        <v>305</v>
      </c>
      <c r="D143" s="8">
        <v>411</v>
      </c>
      <c r="E143" s="8">
        <v>437</v>
      </c>
      <c r="F143" s="8">
        <v>452</v>
      </c>
      <c r="G143" s="8">
        <v>385</v>
      </c>
      <c r="H143" s="8">
        <v>362</v>
      </c>
      <c r="I143" s="8">
        <v>338</v>
      </c>
      <c r="J143" s="8">
        <v>376</v>
      </c>
      <c r="K143" s="8">
        <v>335</v>
      </c>
      <c r="L143" s="8">
        <v>345</v>
      </c>
      <c r="M143" s="8">
        <v>363</v>
      </c>
      <c r="N143" s="8">
        <v>353</v>
      </c>
    </row>
    <row r="144" spans="1:14" x14ac:dyDescent="0.2">
      <c r="A144" s="10" t="s">
        <v>83</v>
      </c>
      <c r="B144" s="8">
        <v>134</v>
      </c>
      <c r="C144" s="8">
        <v>168</v>
      </c>
      <c r="D144" s="8">
        <v>248</v>
      </c>
      <c r="E144" s="8">
        <v>256</v>
      </c>
      <c r="F144" s="8">
        <v>232</v>
      </c>
      <c r="G144" s="8">
        <v>185</v>
      </c>
      <c r="H144" s="8">
        <v>173</v>
      </c>
      <c r="I144" s="8">
        <v>160</v>
      </c>
      <c r="J144" s="8">
        <v>180</v>
      </c>
      <c r="K144" s="8">
        <v>168</v>
      </c>
      <c r="L144" s="8">
        <v>173</v>
      </c>
      <c r="M144" s="8">
        <v>172</v>
      </c>
      <c r="N144" s="8">
        <v>172</v>
      </c>
    </row>
    <row r="145" spans="1:14" x14ac:dyDescent="0.2">
      <c r="A145" s="10" t="s">
        <v>84</v>
      </c>
      <c r="B145" s="8">
        <v>145</v>
      </c>
      <c r="C145" s="8">
        <v>217</v>
      </c>
      <c r="D145" s="8">
        <v>352</v>
      </c>
      <c r="E145" s="8">
        <v>362</v>
      </c>
      <c r="F145" s="8">
        <v>241</v>
      </c>
      <c r="G145" s="8">
        <v>148</v>
      </c>
      <c r="H145" s="8">
        <v>142</v>
      </c>
      <c r="I145" s="8">
        <v>134</v>
      </c>
      <c r="J145" s="8">
        <v>170</v>
      </c>
      <c r="K145" s="8">
        <v>171</v>
      </c>
      <c r="L145" s="8">
        <v>165</v>
      </c>
      <c r="M145" s="8">
        <v>151</v>
      </c>
      <c r="N145" s="8">
        <v>163</v>
      </c>
    </row>
    <row r="146" spans="1:14" x14ac:dyDescent="0.2">
      <c r="A146" s="9" t="s">
        <v>94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x14ac:dyDescent="0.2">
      <c r="A147" s="10" t="s">
        <v>77</v>
      </c>
      <c r="B147" s="12">
        <f>B129/B138</f>
        <v>16178.399650196765</v>
      </c>
      <c r="C147" s="12">
        <f>C129/C138</f>
        <v>16352.201257861636</v>
      </c>
      <c r="D147" s="12">
        <f t="shared" ref="D147:N147" si="38">D129/D138</f>
        <v>16843.702579666162</v>
      </c>
      <c r="E147" s="12">
        <f t="shared" si="38"/>
        <v>17012.331838565024</v>
      </c>
      <c r="F147" s="12">
        <f t="shared" si="38"/>
        <v>16817.512102715216</v>
      </c>
      <c r="G147" s="12">
        <f t="shared" si="38"/>
        <v>16647.218980941267</v>
      </c>
      <c r="H147" s="12">
        <f t="shared" si="38"/>
        <v>16506.885131601881</v>
      </c>
      <c r="I147" s="12">
        <f t="shared" si="38"/>
        <v>16287.577540957531</v>
      </c>
      <c r="J147" s="12">
        <f t="shared" si="38"/>
        <v>16314.627994955863</v>
      </c>
      <c r="K147" s="12">
        <f t="shared" si="38"/>
        <v>16131.756756756757</v>
      </c>
      <c r="L147" s="12">
        <f t="shared" si="38"/>
        <v>15772.357723577235</v>
      </c>
      <c r="M147" s="12">
        <f t="shared" si="38"/>
        <v>15986.949429037521</v>
      </c>
      <c r="N147" s="12">
        <f t="shared" si="38"/>
        <v>16024.631247314908</v>
      </c>
    </row>
    <row r="148" spans="1:14" x14ac:dyDescent="0.2">
      <c r="A148" s="10" t="s">
        <v>78</v>
      </c>
      <c r="B148" s="12">
        <f t="shared" ref="B148:N154" si="39">B130/B139</f>
        <v>42908.438061041292</v>
      </c>
      <c r="C148" s="12">
        <f t="shared" si="39"/>
        <v>43023.255813953489</v>
      </c>
      <c r="D148" s="12">
        <f t="shared" si="39"/>
        <v>43598.615916955016</v>
      </c>
      <c r="E148" s="12">
        <f t="shared" si="39"/>
        <v>43843.68308351178</v>
      </c>
      <c r="F148" s="12">
        <f t="shared" si="39"/>
        <v>43848.05945499587</v>
      </c>
      <c r="G148" s="12">
        <f t="shared" si="39"/>
        <v>43334.74396953026</v>
      </c>
      <c r="H148" s="12">
        <f t="shared" si="39"/>
        <v>43156.645569620254</v>
      </c>
      <c r="I148" s="12">
        <f t="shared" si="39"/>
        <v>42912.17257318952</v>
      </c>
      <c r="J148" s="12">
        <f t="shared" si="39"/>
        <v>42748.091603053435</v>
      </c>
      <c r="K148" s="12">
        <f t="shared" si="39"/>
        <v>42600.27662517289</v>
      </c>
      <c r="L148" s="12">
        <f t="shared" si="39"/>
        <v>42542.787286063569</v>
      </c>
      <c r="M148" s="12">
        <f t="shared" si="39"/>
        <v>42475.640562973655</v>
      </c>
      <c r="N148" s="12">
        <f t="shared" si="39"/>
        <v>42509.299966181941</v>
      </c>
    </row>
    <row r="149" spans="1:14" x14ac:dyDescent="0.2">
      <c r="A149" s="10" t="s">
        <v>79</v>
      </c>
      <c r="B149" s="12">
        <f t="shared" si="39"/>
        <v>66442.953020134228</v>
      </c>
      <c r="C149" s="12">
        <f t="shared" si="39"/>
        <v>66559.485530546619</v>
      </c>
      <c r="D149" s="12">
        <f t="shared" si="39"/>
        <v>67441.860465116275</v>
      </c>
      <c r="E149" s="12">
        <f t="shared" si="39"/>
        <v>67741.93548387097</v>
      </c>
      <c r="F149" s="12">
        <f t="shared" si="39"/>
        <v>67332.123411978217</v>
      </c>
      <c r="G149" s="12">
        <f t="shared" si="39"/>
        <v>66666.666666666672</v>
      </c>
      <c r="H149" s="12">
        <f t="shared" si="39"/>
        <v>66844.919786096259</v>
      </c>
      <c r="I149" s="12">
        <f t="shared" si="39"/>
        <v>66435.986159169552</v>
      </c>
      <c r="J149" s="12">
        <f t="shared" si="39"/>
        <v>66461.538461538468</v>
      </c>
      <c r="K149" s="12">
        <f t="shared" si="39"/>
        <v>66471.449487554899</v>
      </c>
      <c r="L149" s="12">
        <f t="shared" si="39"/>
        <v>66439.522998296423</v>
      </c>
      <c r="M149" s="12">
        <f t="shared" si="39"/>
        <v>66463.414634146335</v>
      </c>
      <c r="N149" s="12">
        <f t="shared" si="39"/>
        <v>66381.766381766385</v>
      </c>
    </row>
    <row r="150" spans="1:14" x14ac:dyDescent="0.2">
      <c r="A150" s="10" t="s">
        <v>80</v>
      </c>
      <c r="B150" s="12">
        <f t="shared" si="39"/>
        <v>97846.153846153844</v>
      </c>
      <c r="C150" s="12">
        <f t="shared" si="39"/>
        <v>97800.586510263936</v>
      </c>
      <c r="D150" s="12">
        <f t="shared" si="39"/>
        <v>98303.393213572854</v>
      </c>
      <c r="E150" s="12">
        <f t="shared" si="39"/>
        <v>98382.749326145553</v>
      </c>
      <c r="F150" s="12">
        <f t="shared" si="39"/>
        <v>98311.306901615273</v>
      </c>
      <c r="G150" s="12">
        <f t="shared" si="39"/>
        <v>97998.180163785262</v>
      </c>
      <c r="H150" s="12">
        <f t="shared" si="39"/>
        <v>97879.858657243822</v>
      </c>
      <c r="I150" s="12">
        <f t="shared" si="39"/>
        <v>97704.315886134063</v>
      </c>
      <c r="J150" s="12">
        <f t="shared" si="39"/>
        <v>97409.326424870465</v>
      </c>
      <c r="K150" s="12">
        <f t="shared" si="39"/>
        <v>97342.781222320642</v>
      </c>
      <c r="L150" s="12">
        <f t="shared" si="39"/>
        <v>97311.271975180978</v>
      </c>
      <c r="M150" s="12">
        <f t="shared" si="39"/>
        <v>97314.814814814818</v>
      </c>
      <c r="N150" s="12">
        <f t="shared" si="39"/>
        <v>97205.240174672494</v>
      </c>
    </row>
    <row r="151" spans="1:14" x14ac:dyDescent="0.2">
      <c r="A151" s="10" t="s">
        <v>81</v>
      </c>
      <c r="B151" s="12">
        <f t="shared" si="39"/>
        <v>260917.94158553547</v>
      </c>
      <c r="C151" s="12">
        <f t="shared" si="39"/>
        <v>262289.56228956231</v>
      </c>
      <c r="D151" s="12">
        <f t="shared" si="39"/>
        <v>263636.36363636365</v>
      </c>
      <c r="E151" s="12">
        <f t="shared" si="39"/>
        <v>264338.41613379243</v>
      </c>
      <c r="F151" s="12">
        <f t="shared" si="39"/>
        <v>266579.40663176263</v>
      </c>
      <c r="G151" s="12">
        <f t="shared" si="39"/>
        <v>265432.09876543208</v>
      </c>
      <c r="H151" s="12">
        <f t="shared" si="39"/>
        <v>260530.50397877983</v>
      </c>
      <c r="I151" s="12">
        <f t="shared" si="39"/>
        <v>258150.98468271334</v>
      </c>
      <c r="J151" s="12">
        <f t="shared" si="39"/>
        <v>256243.80574826561</v>
      </c>
      <c r="K151" s="12">
        <f t="shared" si="39"/>
        <v>251181.10236220472</v>
      </c>
      <c r="L151" s="12">
        <f t="shared" si="39"/>
        <v>254692.73743016759</v>
      </c>
      <c r="M151" s="12">
        <f t="shared" si="39"/>
        <v>253770.66115702479</v>
      </c>
      <c r="N151" s="12">
        <f t="shared" si="39"/>
        <v>251458.75251509054</v>
      </c>
    </row>
    <row r="152" spans="1:14" x14ac:dyDescent="0.2">
      <c r="A152" s="10" t="s">
        <v>82</v>
      </c>
      <c r="B152" s="12">
        <f t="shared" si="39"/>
        <v>794402.98507462686</v>
      </c>
      <c r="C152" s="12">
        <f t="shared" si="39"/>
        <v>791803.27868852462</v>
      </c>
      <c r="D152" s="12">
        <f t="shared" si="39"/>
        <v>801459.85401459853</v>
      </c>
      <c r="E152" s="12">
        <f t="shared" si="39"/>
        <v>802059.49656750576</v>
      </c>
      <c r="F152" s="12">
        <f t="shared" si="39"/>
        <v>816814.15929203539</v>
      </c>
      <c r="G152" s="12">
        <f t="shared" si="39"/>
        <v>815584.41558441555</v>
      </c>
      <c r="H152" s="12">
        <f t="shared" si="39"/>
        <v>805248.61878453044</v>
      </c>
      <c r="I152" s="12">
        <f t="shared" si="39"/>
        <v>802366.86390532542</v>
      </c>
      <c r="J152" s="12">
        <f t="shared" si="39"/>
        <v>791755.31914893619</v>
      </c>
      <c r="K152" s="12">
        <f t="shared" si="39"/>
        <v>796119.40298507467</v>
      </c>
      <c r="L152" s="12">
        <f t="shared" si="39"/>
        <v>792463.76811594202</v>
      </c>
      <c r="M152" s="12">
        <f t="shared" si="39"/>
        <v>789531.68044077139</v>
      </c>
      <c r="N152" s="12">
        <f t="shared" si="39"/>
        <v>786968.83852691215</v>
      </c>
    </row>
    <row r="153" spans="1:14" x14ac:dyDescent="0.2">
      <c r="A153" s="10" t="s">
        <v>83</v>
      </c>
      <c r="B153" s="12">
        <f t="shared" si="39"/>
        <v>1488805.9701492537</v>
      </c>
      <c r="C153" s="12">
        <f t="shared" si="39"/>
        <v>1501190.4761904762</v>
      </c>
      <c r="D153" s="12">
        <f t="shared" si="39"/>
        <v>1514112.9032258065</v>
      </c>
      <c r="E153" s="12">
        <f t="shared" si="39"/>
        <v>1511718.75</v>
      </c>
      <c r="F153" s="12">
        <f t="shared" si="39"/>
        <v>1528879.3103448276</v>
      </c>
      <c r="G153" s="12">
        <f t="shared" si="39"/>
        <v>1519459.4594594594</v>
      </c>
      <c r="H153" s="12">
        <f t="shared" si="39"/>
        <v>1517341.0404624278</v>
      </c>
      <c r="I153" s="12">
        <f t="shared" si="39"/>
        <v>1504375</v>
      </c>
      <c r="J153" s="12">
        <f t="shared" si="39"/>
        <v>1497777.7777777778</v>
      </c>
      <c r="K153" s="12">
        <f t="shared" si="39"/>
        <v>1501190.4761904762</v>
      </c>
      <c r="L153" s="12">
        <f t="shared" si="39"/>
        <v>1494219.6531791908</v>
      </c>
      <c r="M153" s="12">
        <f t="shared" si="39"/>
        <v>1487790.6976744186</v>
      </c>
      <c r="N153" s="12">
        <f t="shared" si="39"/>
        <v>1488953.4883720933</v>
      </c>
    </row>
    <row r="154" spans="1:14" x14ac:dyDescent="0.2">
      <c r="A154" s="10" t="s">
        <v>84</v>
      </c>
      <c r="B154" s="12">
        <f t="shared" si="39"/>
        <v>5990344.8275862066</v>
      </c>
      <c r="C154" s="12">
        <f t="shared" si="39"/>
        <v>6298156.6820276501</v>
      </c>
      <c r="D154" s="12">
        <f t="shared" si="39"/>
        <v>6556534.0909090908</v>
      </c>
      <c r="E154" s="12">
        <f t="shared" si="39"/>
        <v>6748618.7845303863</v>
      </c>
      <c r="F154" s="12">
        <f t="shared" si="39"/>
        <v>6452697.0954356845</v>
      </c>
      <c r="G154" s="12">
        <f t="shared" si="39"/>
        <v>5824324.3243243247</v>
      </c>
      <c r="H154" s="12">
        <f t="shared" si="39"/>
        <v>6155633.8028169014</v>
      </c>
      <c r="I154" s="12">
        <f t="shared" si="39"/>
        <v>5566194.0298507465</v>
      </c>
      <c r="J154" s="12">
        <f t="shared" si="39"/>
        <v>6120000.0000000009</v>
      </c>
      <c r="K154" s="12">
        <f t="shared" si="39"/>
        <v>6276608.1871345034</v>
      </c>
      <c r="L154" s="12">
        <f t="shared" si="39"/>
        <v>5806666.666666667</v>
      </c>
      <c r="M154" s="12">
        <f t="shared" si="39"/>
        <v>5633774.8344370862</v>
      </c>
      <c r="N154" s="12">
        <f t="shared" si="39"/>
        <v>6070552.1472392641</v>
      </c>
    </row>
    <row r="155" spans="1:14" x14ac:dyDescent="0.2">
      <c r="A155" s="9" t="s">
        <v>91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x14ac:dyDescent="0.2">
      <c r="A156" s="10" t="s">
        <v>77</v>
      </c>
      <c r="B156" s="12">
        <f>B129+B102+B75</f>
        <v>205700000</v>
      </c>
      <c r="C156" s="12">
        <f t="shared" ref="C156:N156" si="40">C129+C102+C75</f>
        <v>194300000</v>
      </c>
      <c r="D156" s="12">
        <f t="shared" si="40"/>
        <v>211300000</v>
      </c>
      <c r="E156" s="12">
        <f t="shared" si="40"/>
        <v>227200000</v>
      </c>
      <c r="F156" s="12">
        <f t="shared" si="40"/>
        <v>300600000</v>
      </c>
      <c r="G156" s="12">
        <f t="shared" si="40"/>
        <v>319500000</v>
      </c>
      <c r="H156" s="12">
        <f t="shared" si="40"/>
        <v>327400000</v>
      </c>
      <c r="I156" s="12">
        <f t="shared" si="40"/>
        <v>332050000</v>
      </c>
      <c r="J156" s="12">
        <f t="shared" si="40"/>
        <v>297030000</v>
      </c>
      <c r="K156" s="12">
        <f t="shared" si="40"/>
        <v>341700000</v>
      </c>
      <c r="L156" s="12">
        <f t="shared" si="40"/>
        <v>277600000</v>
      </c>
      <c r="M156" s="12">
        <f t="shared" si="40"/>
        <v>288400000</v>
      </c>
      <c r="N156" s="12">
        <f t="shared" si="40"/>
        <v>282700000</v>
      </c>
    </row>
    <row r="157" spans="1:14" x14ac:dyDescent="0.2">
      <c r="A157" s="10" t="s">
        <v>78</v>
      </c>
      <c r="B157" s="12">
        <f t="shared" ref="B157:N157" si="41">B130+B103+B76</f>
        <v>216900000</v>
      </c>
      <c r="C157" s="12">
        <f t="shared" si="41"/>
        <v>219400000</v>
      </c>
      <c r="D157" s="12">
        <f t="shared" si="41"/>
        <v>253700000</v>
      </c>
      <c r="E157" s="12">
        <f t="shared" si="41"/>
        <v>277200000</v>
      </c>
      <c r="F157" s="12">
        <f t="shared" si="41"/>
        <v>361600000</v>
      </c>
      <c r="G157" s="12">
        <f t="shared" si="41"/>
        <v>341500000</v>
      </c>
      <c r="H157" s="12">
        <f t="shared" si="41"/>
        <v>338500000</v>
      </c>
      <c r="I157" s="12">
        <f t="shared" si="41"/>
        <v>334220000</v>
      </c>
      <c r="J157" s="12">
        <f t="shared" si="41"/>
        <v>318470000</v>
      </c>
      <c r="K157" s="12">
        <f t="shared" si="41"/>
        <v>350400000</v>
      </c>
      <c r="L157" s="12">
        <f t="shared" si="41"/>
        <v>288700000</v>
      </c>
      <c r="M157" s="12">
        <f t="shared" si="41"/>
        <v>305900000</v>
      </c>
      <c r="N157" s="12">
        <f t="shared" si="41"/>
        <v>312000000</v>
      </c>
    </row>
    <row r="158" spans="1:14" x14ac:dyDescent="0.2">
      <c r="A158" s="10" t="s">
        <v>79</v>
      </c>
      <c r="B158" s="12">
        <f t="shared" ref="B158:N158" si="42">B131+B104+B77</f>
        <v>74900000</v>
      </c>
      <c r="C158" s="12">
        <f t="shared" si="42"/>
        <v>77700000</v>
      </c>
      <c r="D158" s="12">
        <f t="shared" si="42"/>
        <v>91700000</v>
      </c>
      <c r="E158" s="12">
        <f t="shared" si="42"/>
        <v>102100000</v>
      </c>
      <c r="F158" s="12">
        <f t="shared" si="42"/>
        <v>120400000</v>
      </c>
      <c r="G158" s="12">
        <f t="shared" si="42"/>
        <v>107500000</v>
      </c>
      <c r="H158" s="12">
        <f t="shared" si="42"/>
        <v>110500000</v>
      </c>
      <c r="I158" s="12">
        <f t="shared" si="42"/>
        <v>110320000</v>
      </c>
      <c r="J158" s="12">
        <f t="shared" si="42"/>
        <v>113310000</v>
      </c>
      <c r="K158" s="12">
        <f t="shared" si="42"/>
        <v>124200000</v>
      </c>
      <c r="L158" s="12">
        <f t="shared" si="42"/>
        <v>105500000</v>
      </c>
      <c r="M158" s="12">
        <f t="shared" si="42"/>
        <v>112800000</v>
      </c>
      <c r="N158" s="12">
        <f t="shared" si="42"/>
        <v>117700000</v>
      </c>
    </row>
    <row r="159" spans="1:14" x14ac:dyDescent="0.2">
      <c r="A159" s="10" t="s">
        <v>80</v>
      </c>
      <c r="B159" s="12">
        <f t="shared" ref="B159:N159" si="43">B132+B105+B78</f>
        <v>246500000</v>
      </c>
      <c r="C159" s="12">
        <f t="shared" si="43"/>
        <v>267000000</v>
      </c>
      <c r="D159" s="12">
        <f t="shared" si="43"/>
        <v>323700000</v>
      </c>
      <c r="E159" s="12">
        <f t="shared" si="43"/>
        <v>361400000</v>
      </c>
      <c r="F159" s="12">
        <f t="shared" si="43"/>
        <v>426500000</v>
      </c>
      <c r="G159" s="12">
        <f t="shared" si="43"/>
        <v>338600000</v>
      </c>
      <c r="H159" s="12">
        <f t="shared" si="43"/>
        <v>325100000</v>
      </c>
      <c r="I159" s="12">
        <f t="shared" si="43"/>
        <v>307840000</v>
      </c>
      <c r="J159" s="12">
        <f t="shared" si="43"/>
        <v>299650000</v>
      </c>
      <c r="K159" s="12">
        <f t="shared" si="43"/>
        <v>303400000</v>
      </c>
      <c r="L159" s="12">
        <f t="shared" si="43"/>
        <v>256500000</v>
      </c>
      <c r="M159" s="12">
        <f t="shared" si="43"/>
        <v>272100000</v>
      </c>
      <c r="N159" s="12">
        <f t="shared" si="43"/>
        <v>280500000</v>
      </c>
    </row>
    <row r="160" spans="1:14" x14ac:dyDescent="0.2">
      <c r="A160" s="10" t="s">
        <v>81</v>
      </c>
      <c r="B160" s="12">
        <f t="shared" ref="B160:N160" si="44">B133+B106+B79</f>
        <v>1099100000</v>
      </c>
      <c r="C160" s="12">
        <f t="shared" si="44"/>
        <v>1257500000</v>
      </c>
      <c r="D160" s="12">
        <f t="shared" si="44"/>
        <v>1491000000</v>
      </c>
      <c r="E160" s="12">
        <f t="shared" si="44"/>
        <v>1639700000</v>
      </c>
      <c r="F160" s="12">
        <f t="shared" si="44"/>
        <v>1717000000</v>
      </c>
      <c r="G160" s="12">
        <f t="shared" si="44"/>
        <v>1301700000</v>
      </c>
      <c r="H160" s="12">
        <f t="shared" si="44"/>
        <v>1283600000</v>
      </c>
      <c r="I160" s="12">
        <f t="shared" si="44"/>
        <v>1211570000</v>
      </c>
      <c r="J160" s="12">
        <f t="shared" si="44"/>
        <v>1246140000</v>
      </c>
      <c r="K160" s="12">
        <f t="shared" si="44"/>
        <v>1186500000</v>
      </c>
      <c r="L160" s="12">
        <f t="shared" si="44"/>
        <v>1091200000</v>
      </c>
      <c r="M160" s="12">
        <f t="shared" si="44"/>
        <v>1160000000</v>
      </c>
      <c r="N160" s="12">
        <f t="shared" si="44"/>
        <v>1227000000</v>
      </c>
    </row>
    <row r="161" spans="1:14" x14ac:dyDescent="0.2">
      <c r="A161" s="10" t="s">
        <v>82</v>
      </c>
      <c r="B161" s="12">
        <f t="shared" ref="B161:N161" si="45">B134+B107+B80</f>
        <v>812800000</v>
      </c>
      <c r="C161" s="12">
        <f t="shared" si="45"/>
        <v>963800000</v>
      </c>
      <c r="D161" s="12">
        <f t="shared" si="45"/>
        <v>1158200000</v>
      </c>
      <c r="E161" s="12">
        <f t="shared" si="45"/>
        <v>1241800000</v>
      </c>
      <c r="F161" s="12">
        <f t="shared" si="45"/>
        <v>1156500000</v>
      </c>
      <c r="G161" s="12">
        <f t="shared" si="45"/>
        <v>862500000</v>
      </c>
      <c r="H161" s="12">
        <f t="shared" si="45"/>
        <v>813400000</v>
      </c>
      <c r="I161" s="12">
        <f t="shared" si="45"/>
        <v>748190000</v>
      </c>
      <c r="J161" s="12">
        <f t="shared" si="45"/>
        <v>756940000</v>
      </c>
      <c r="K161" s="12">
        <f t="shared" si="45"/>
        <v>709000000</v>
      </c>
      <c r="L161" s="12">
        <f t="shared" si="45"/>
        <v>690300000</v>
      </c>
      <c r="M161" s="12">
        <f t="shared" si="45"/>
        <v>716700000</v>
      </c>
      <c r="N161" s="12">
        <f t="shared" si="45"/>
        <v>772400000</v>
      </c>
    </row>
    <row r="162" spans="1:14" x14ac:dyDescent="0.2">
      <c r="A162" s="10" t="s">
        <v>83</v>
      </c>
      <c r="B162" s="12">
        <f t="shared" ref="B162:N162" si="46">B135+B108+B81</f>
        <v>1087700000</v>
      </c>
      <c r="C162" s="12">
        <f t="shared" si="46"/>
        <v>1274800000</v>
      </c>
      <c r="D162" s="12">
        <f t="shared" si="46"/>
        <v>1547300000</v>
      </c>
      <c r="E162" s="12">
        <f t="shared" si="46"/>
        <v>1637100000</v>
      </c>
      <c r="F162" s="12">
        <f t="shared" si="46"/>
        <v>1360100000</v>
      </c>
      <c r="G162" s="12">
        <f t="shared" si="46"/>
        <v>953100000</v>
      </c>
      <c r="H162" s="12">
        <f t="shared" si="46"/>
        <v>927000000</v>
      </c>
      <c r="I162" s="12">
        <f t="shared" si="46"/>
        <v>841910000</v>
      </c>
      <c r="J162" s="12">
        <f t="shared" si="46"/>
        <v>844990000</v>
      </c>
      <c r="K162" s="12">
        <f t="shared" si="46"/>
        <v>824000000</v>
      </c>
      <c r="L162" s="12">
        <f t="shared" si="46"/>
        <v>789000000</v>
      </c>
      <c r="M162" s="12">
        <f t="shared" si="46"/>
        <v>789700000</v>
      </c>
      <c r="N162" s="12">
        <f t="shared" si="46"/>
        <v>883700000</v>
      </c>
    </row>
    <row r="163" spans="1:14" x14ac:dyDescent="0.2">
      <c r="A163" s="10" t="s">
        <v>84</v>
      </c>
      <c r="B163" s="12">
        <f t="shared" ref="B163:N163" si="47">B136+B109+B82</f>
        <v>12422600000</v>
      </c>
      <c r="C163" s="12">
        <f t="shared" si="47"/>
        <v>16116500000</v>
      </c>
      <c r="D163" s="12">
        <f t="shared" si="47"/>
        <v>19150400000</v>
      </c>
      <c r="E163" s="12">
        <f t="shared" si="47"/>
        <v>21042000000</v>
      </c>
      <c r="F163" s="12">
        <f t="shared" si="47"/>
        <v>16353400000</v>
      </c>
      <c r="G163" s="12">
        <f t="shared" si="47"/>
        <v>10820500000</v>
      </c>
      <c r="H163" s="12">
        <f t="shared" si="47"/>
        <v>10754600000</v>
      </c>
      <c r="I163" s="12">
        <f t="shared" si="47"/>
        <v>9152070000</v>
      </c>
      <c r="J163" s="12">
        <f t="shared" si="47"/>
        <v>8923740000</v>
      </c>
      <c r="K163" s="12">
        <f t="shared" si="47"/>
        <v>8541000000</v>
      </c>
      <c r="L163" s="12">
        <f t="shared" si="47"/>
        <v>7506000000</v>
      </c>
      <c r="M163" s="12">
        <f t="shared" si="47"/>
        <v>5950300000</v>
      </c>
      <c r="N163" s="12">
        <f t="shared" si="47"/>
        <v>8564900000</v>
      </c>
    </row>
    <row r="164" spans="1:14" x14ac:dyDescent="0.2">
      <c r="A164" s="9" t="s">
        <v>92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x14ac:dyDescent="0.2">
      <c r="A165" s="10" t="s">
        <v>77</v>
      </c>
      <c r="B165" s="8">
        <f>B138+B111+B84</f>
        <v>13427</v>
      </c>
      <c r="C165" s="8">
        <f t="shared" ref="C165:N165" si="48">C138+C111+C84</f>
        <v>12409</v>
      </c>
      <c r="D165" s="8">
        <f t="shared" si="48"/>
        <v>13143</v>
      </c>
      <c r="E165" s="8">
        <f t="shared" si="48"/>
        <v>13925</v>
      </c>
      <c r="F165" s="8">
        <f t="shared" si="48"/>
        <v>18482</v>
      </c>
      <c r="G165" s="8">
        <f t="shared" si="48"/>
        <v>20344</v>
      </c>
      <c r="H165" s="8">
        <f t="shared" si="48"/>
        <v>21099</v>
      </c>
      <c r="I165" s="8">
        <f t="shared" si="48"/>
        <v>21428</v>
      </c>
      <c r="J165" s="8">
        <f t="shared" si="48"/>
        <v>18932</v>
      </c>
      <c r="K165" s="8">
        <f t="shared" si="48"/>
        <v>21818</v>
      </c>
      <c r="L165" s="8">
        <f t="shared" si="48"/>
        <v>17769</v>
      </c>
      <c r="M165" s="8">
        <f t="shared" si="48"/>
        <v>18252</v>
      </c>
      <c r="N165" s="8">
        <f t="shared" si="48"/>
        <v>17738</v>
      </c>
    </row>
    <row r="166" spans="1:14" x14ac:dyDescent="0.2">
      <c r="A166" s="10" t="s">
        <v>78</v>
      </c>
      <c r="B166" s="8">
        <f t="shared" ref="B166:N166" si="49">B139+B112+B85</f>
        <v>5051</v>
      </c>
      <c r="C166" s="8">
        <f t="shared" si="49"/>
        <v>5066</v>
      </c>
      <c r="D166" s="8">
        <f t="shared" si="49"/>
        <v>5815</v>
      </c>
      <c r="E166" s="8">
        <f t="shared" si="49"/>
        <v>6326</v>
      </c>
      <c r="F166" s="8">
        <f t="shared" si="49"/>
        <v>8261</v>
      </c>
      <c r="G166" s="8">
        <f t="shared" si="49"/>
        <v>7901</v>
      </c>
      <c r="H166" s="8">
        <f t="shared" si="49"/>
        <v>7871</v>
      </c>
      <c r="I166" s="8">
        <f t="shared" si="49"/>
        <v>7800</v>
      </c>
      <c r="J166" s="8">
        <f t="shared" si="49"/>
        <v>7447</v>
      </c>
      <c r="K166" s="8">
        <f t="shared" si="49"/>
        <v>8218</v>
      </c>
      <c r="L166" s="8">
        <f t="shared" si="49"/>
        <v>6779</v>
      </c>
      <c r="M166" s="8">
        <f t="shared" si="49"/>
        <v>7187</v>
      </c>
      <c r="N166" s="8">
        <f t="shared" si="49"/>
        <v>7329</v>
      </c>
    </row>
    <row r="167" spans="1:14" x14ac:dyDescent="0.2">
      <c r="A167" s="10" t="s">
        <v>79</v>
      </c>
      <c r="B167" s="8">
        <f t="shared" ref="B167:N167" si="50">B140+B113+B86</f>
        <v>1119</v>
      </c>
      <c r="C167" s="8">
        <f t="shared" si="50"/>
        <v>1153</v>
      </c>
      <c r="D167" s="8">
        <f t="shared" si="50"/>
        <v>1352</v>
      </c>
      <c r="E167" s="8">
        <f t="shared" si="50"/>
        <v>1498</v>
      </c>
      <c r="F167" s="8">
        <f t="shared" si="50"/>
        <v>1779</v>
      </c>
      <c r="G167" s="8">
        <f t="shared" si="50"/>
        <v>1609</v>
      </c>
      <c r="H167" s="8">
        <f t="shared" si="50"/>
        <v>1652</v>
      </c>
      <c r="I167" s="8">
        <f t="shared" si="50"/>
        <v>1654</v>
      </c>
      <c r="J167" s="8">
        <f t="shared" si="50"/>
        <v>1699</v>
      </c>
      <c r="K167" s="8">
        <f t="shared" si="50"/>
        <v>1861</v>
      </c>
      <c r="L167" s="8">
        <f t="shared" si="50"/>
        <v>1581</v>
      </c>
      <c r="M167" s="8">
        <f t="shared" si="50"/>
        <v>1689</v>
      </c>
      <c r="N167" s="8">
        <f t="shared" si="50"/>
        <v>1763</v>
      </c>
    </row>
    <row r="168" spans="1:14" x14ac:dyDescent="0.2">
      <c r="A168" s="10" t="s">
        <v>80</v>
      </c>
      <c r="B168" s="8">
        <f t="shared" ref="B168:N168" si="51">B141+B114+B87</f>
        <v>2511</v>
      </c>
      <c r="C168" s="8">
        <f t="shared" si="51"/>
        <v>2716</v>
      </c>
      <c r="D168" s="8">
        <f t="shared" si="51"/>
        <v>3287</v>
      </c>
      <c r="E168" s="8">
        <f t="shared" si="51"/>
        <v>3668</v>
      </c>
      <c r="F168" s="8">
        <f t="shared" si="51"/>
        <v>4332</v>
      </c>
      <c r="G168" s="8">
        <f t="shared" si="51"/>
        <v>3451</v>
      </c>
      <c r="H168" s="8">
        <f t="shared" si="51"/>
        <v>3319</v>
      </c>
      <c r="I168" s="8">
        <f t="shared" si="51"/>
        <v>3147</v>
      </c>
      <c r="J168" s="8">
        <f t="shared" si="51"/>
        <v>3071</v>
      </c>
      <c r="K168" s="8">
        <f t="shared" si="51"/>
        <v>3112</v>
      </c>
      <c r="L168" s="8">
        <f t="shared" si="51"/>
        <v>2633</v>
      </c>
      <c r="M168" s="8">
        <f t="shared" si="51"/>
        <v>2792</v>
      </c>
      <c r="N168" s="8">
        <f t="shared" si="51"/>
        <v>2882</v>
      </c>
    </row>
    <row r="169" spans="1:14" x14ac:dyDescent="0.2">
      <c r="A169" s="10" t="s">
        <v>81</v>
      </c>
      <c r="B169" s="8">
        <f t="shared" ref="B169:N169" si="52">B142+B115+B88</f>
        <v>4214</v>
      </c>
      <c r="C169" s="8">
        <f t="shared" si="52"/>
        <v>4762</v>
      </c>
      <c r="D169" s="8">
        <f t="shared" si="52"/>
        <v>5622</v>
      </c>
      <c r="E169" s="8">
        <f t="shared" si="52"/>
        <v>6200</v>
      </c>
      <c r="F169" s="8">
        <f t="shared" si="52"/>
        <v>6557</v>
      </c>
      <c r="G169" s="8">
        <f t="shared" si="52"/>
        <v>5047</v>
      </c>
      <c r="H169" s="8">
        <f t="shared" si="52"/>
        <v>5022</v>
      </c>
      <c r="I169" s="8">
        <f t="shared" si="52"/>
        <v>4797</v>
      </c>
      <c r="J169" s="8">
        <f t="shared" si="52"/>
        <v>4950</v>
      </c>
      <c r="K169" s="8">
        <f t="shared" si="52"/>
        <v>4811</v>
      </c>
      <c r="L169" s="8">
        <f t="shared" si="52"/>
        <v>4374</v>
      </c>
      <c r="M169" s="8">
        <f t="shared" si="52"/>
        <v>4649</v>
      </c>
      <c r="N169" s="8">
        <f t="shared" si="52"/>
        <v>4910</v>
      </c>
    </row>
    <row r="170" spans="1:14" x14ac:dyDescent="0.2">
      <c r="A170" s="10" t="s">
        <v>82</v>
      </c>
      <c r="B170" s="8">
        <f t="shared" ref="B170:N170" si="53">B143+B116+B89</f>
        <v>982</v>
      </c>
      <c r="C170" s="8">
        <f t="shared" si="53"/>
        <v>1173</v>
      </c>
      <c r="D170" s="8">
        <f t="shared" si="53"/>
        <v>1414</v>
      </c>
      <c r="E170" s="8">
        <f t="shared" si="53"/>
        <v>1519</v>
      </c>
      <c r="F170" s="8">
        <f t="shared" si="53"/>
        <v>1402</v>
      </c>
      <c r="G170" s="8">
        <f t="shared" si="53"/>
        <v>1045</v>
      </c>
      <c r="H170" s="8">
        <f t="shared" si="53"/>
        <v>995</v>
      </c>
      <c r="I170" s="8">
        <f t="shared" si="53"/>
        <v>919</v>
      </c>
      <c r="J170" s="8">
        <f t="shared" si="53"/>
        <v>941</v>
      </c>
      <c r="K170" s="8">
        <f t="shared" si="53"/>
        <v>878</v>
      </c>
      <c r="L170" s="8">
        <f t="shared" si="53"/>
        <v>860</v>
      </c>
      <c r="M170" s="8">
        <f t="shared" si="53"/>
        <v>897</v>
      </c>
      <c r="N170" s="8">
        <f t="shared" si="53"/>
        <v>964</v>
      </c>
    </row>
    <row r="171" spans="1:14" x14ac:dyDescent="0.2">
      <c r="A171" s="10" t="s">
        <v>83</v>
      </c>
      <c r="B171" s="8">
        <f t="shared" ref="B171:N171" si="54">B144+B117+B90</f>
        <v>703</v>
      </c>
      <c r="C171" s="8">
        <f t="shared" si="54"/>
        <v>824</v>
      </c>
      <c r="D171" s="8">
        <f t="shared" si="54"/>
        <v>1001</v>
      </c>
      <c r="E171" s="8">
        <f t="shared" si="54"/>
        <v>1062</v>
      </c>
      <c r="F171" s="8">
        <f t="shared" si="54"/>
        <v>879</v>
      </c>
      <c r="G171" s="8">
        <f t="shared" si="54"/>
        <v>616</v>
      </c>
      <c r="H171" s="8">
        <f t="shared" si="54"/>
        <v>601</v>
      </c>
      <c r="I171" s="8">
        <f t="shared" si="54"/>
        <v>549</v>
      </c>
      <c r="J171" s="8">
        <f t="shared" si="54"/>
        <v>555</v>
      </c>
      <c r="K171" s="8">
        <f t="shared" si="54"/>
        <v>541</v>
      </c>
      <c r="L171" s="8">
        <f t="shared" si="54"/>
        <v>521</v>
      </c>
      <c r="M171" s="8">
        <f t="shared" si="54"/>
        <v>522</v>
      </c>
      <c r="N171" s="8">
        <f t="shared" si="54"/>
        <v>582</v>
      </c>
    </row>
    <row r="172" spans="1:14" x14ac:dyDescent="0.2">
      <c r="A172" s="10" t="s">
        <v>84</v>
      </c>
      <c r="B172" s="8">
        <f t="shared" ref="B172:N172" si="55">B145+B118+B91</f>
        <v>1454</v>
      </c>
      <c r="C172" s="8">
        <f t="shared" si="55"/>
        <v>1751</v>
      </c>
      <c r="D172" s="8">
        <f t="shared" si="55"/>
        <v>2103</v>
      </c>
      <c r="E172" s="8">
        <f t="shared" si="55"/>
        <v>2239</v>
      </c>
      <c r="F172" s="8">
        <f t="shared" si="55"/>
        <v>1695</v>
      </c>
      <c r="G172" s="8">
        <f t="shared" si="55"/>
        <v>1095</v>
      </c>
      <c r="H172" s="8">
        <f t="shared" si="55"/>
        <v>1098</v>
      </c>
      <c r="I172" s="8">
        <f t="shared" si="55"/>
        <v>962</v>
      </c>
      <c r="J172" s="8">
        <f t="shared" si="55"/>
        <v>950</v>
      </c>
      <c r="K172" s="8">
        <f t="shared" si="55"/>
        <v>950</v>
      </c>
      <c r="L172" s="8">
        <f t="shared" si="55"/>
        <v>842</v>
      </c>
      <c r="M172" s="8">
        <f t="shared" si="55"/>
        <v>745</v>
      </c>
      <c r="N172" s="8">
        <f t="shared" si="55"/>
        <v>966</v>
      </c>
    </row>
    <row r="173" spans="1:14" x14ac:dyDescent="0.2">
      <c r="A173" s="18" t="s">
        <v>96</v>
      </c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</row>
    <row r="174" spans="1:14" x14ac:dyDescent="0.2">
      <c r="A174" s="20" t="s">
        <v>77</v>
      </c>
      <c r="B174" s="21">
        <f>B156/B165</f>
        <v>15319.877858047219</v>
      </c>
      <c r="C174" s="21">
        <f>C156/C165</f>
        <v>15657.990168426142</v>
      </c>
      <c r="D174" s="21">
        <f t="shared" ref="D174:N174" si="56">D156/D165</f>
        <v>16076.999163052575</v>
      </c>
      <c r="E174" s="21">
        <f t="shared" si="56"/>
        <v>16315.978456014363</v>
      </c>
      <c r="F174" s="21">
        <f t="shared" si="56"/>
        <v>16264.473541824478</v>
      </c>
      <c r="G174" s="21">
        <f t="shared" si="56"/>
        <v>15704.876130554463</v>
      </c>
      <c r="H174" s="21">
        <f t="shared" si="56"/>
        <v>15517.323095881322</v>
      </c>
      <c r="I174" s="21">
        <f t="shared" si="56"/>
        <v>15496.079895463879</v>
      </c>
      <c r="J174" s="21">
        <f t="shared" si="56"/>
        <v>15689.30910627509</v>
      </c>
      <c r="K174" s="21">
        <f t="shared" si="56"/>
        <v>15661.380511504263</v>
      </c>
      <c r="L174" s="21">
        <f t="shared" si="56"/>
        <v>15622.71371489673</v>
      </c>
      <c r="M174" s="21">
        <f t="shared" si="56"/>
        <v>15801.008108700416</v>
      </c>
      <c r="N174" s="21">
        <f t="shared" si="56"/>
        <v>15937.535235088511</v>
      </c>
    </row>
    <row r="175" spans="1:14" x14ac:dyDescent="0.2">
      <c r="A175" s="20" t="s">
        <v>78</v>
      </c>
      <c r="B175" s="21">
        <f t="shared" ref="B175:N181" si="57">B157/B166</f>
        <v>42941.991684814886</v>
      </c>
      <c r="C175" s="21">
        <f t="shared" si="57"/>
        <v>43308.330043426766</v>
      </c>
      <c r="D175" s="21">
        <f t="shared" si="57"/>
        <v>43628.546861564915</v>
      </c>
      <c r="E175" s="21">
        <f t="shared" si="57"/>
        <v>43819.159026240908</v>
      </c>
      <c r="F175" s="21">
        <f t="shared" si="57"/>
        <v>43771.940443045634</v>
      </c>
      <c r="G175" s="21">
        <f t="shared" si="57"/>
        <v>43222.376914314642</v>
      </c>
      <c r="H175" s="21">
        <f t="shared" si="57"/>
        <v>43005.971287002925</v>
      </c>
      <c r="I175" s="21">
        <f t="shared" si="57"/>
        <v>42848.717948717946</v>
      </c>
      <c r="J175" s="21">
        <f t="shared" si="57"/>
        <v>42764.871760440445</v>
      </c>
      <c r="K175" s="21">
        <f t="shared" si="57"/>
        <v>42638.111462642977</v>
      </c>
      <c r="L175" s="21">
        <f t="shared" si="57"/>
        <v>42587.40227172149</v>
      </c>
      <c r="M175" s="21">
        <f t="shared" si="57"/>
        <v>42562.960901627943</v>
      </c>
      <c r="N175" s="21">
        <f t="shared" si="57"/>
        <v>42570.60990585346</v>
      </c>
    </row>
    <row r="176" spans="1:14" x14ac:dyDescent="0.2">
      <c r="A176" s="20" t="s">
        <v>79</v>
      </c>
      <c r="B176" s="21">
        <f t="shared" si="57"/>
        <v>66934.763181411981</v>
      </c>
      <c r="C176" s="21">
        <f t="shared" si="57"/>
        <v>67389.418907198618</v>
      </c>
      <c r="D176" s="21">
        <f t="shared" si="57"/>
        <v>67825.443786982243</v>
      </c>
      <c r="E176" s="21">
        <f t="shared" si="57"/>
        <v>68157.543391188257</v>
      </c>
      <c r="F176" s="21">
        <f t="shared" si="57"/>
        <v>67678.47105115233</v>
      </c>
      <c r="G176" s="21">
        <f t="shared" si="57"/>
        <v>66811.684275947788</v>
      </c>
      <c r="H176" s="21">
        <f t="shared" si="57"/>
        <v>66888.619854721546</v>
      </c>
      <c r="I176" s="21">
        <f t="shared" si="57"/>
        <v>66698.911729141473</v>
      </c>
      <c r="J176" s="21">
        <f t="shared" si="57"/>
        <v>66692.171865803408</v>
      </c>
      <c r="K176" s="21">
        <f t="shared" si="57"/>
        <v>66738.312735088664</v>
      </c>
      <c r="L176" s="21">
        <f t="shared" si="57"/>
        <v>66729.917773561043</v>
      </c>
      <c r="M176" s="21">
        <f t="shared" si="57"/>
        <v>66785.079928952036</v>
      </c>
      <c r="N176" s="21">
        <f t="shared" si="57"/>
        <v>66761.202495745893</v>
      </c>
    </row>
    <row r="177" spans="1:14" x14ac:dyDescent="0.2">
      <c r="A177" s="20" t="s">
        <v>80</v>
      </c>
      <c r="B177" s="21">
        <f t="shared" si="57"/>
        <v>98168.060533651937</v>
      </c>
      <c r="C177" s="21">
        <f t="shared" si="57"/>
        <v>98306.332842415315</v>
      </c>
      <c r="D177" s="21">
        <f t="shared" si="57"/>
        <v>98478.856099787037</v>
      </c>
      <c r="E177" s="21">
        <f t="shared" si="57"/>
        <v>98527.808069792809</v>
      </c>
      <c r="F177" s="21">
        <f t="shared" si="57"/>
        <v>98453.370267774706</v>
      </c>
      <c r="G177" s="21">
        <f t="shared" si="57"/>
        <v>98116.487974500138</v>
      </c>
      <c r="H177" s="21">
        <f t="shared" si="57"/>
        <v>97951.190117505277</v>
      </c>
      <c r="I177" s="21">
        <f t="shared" si="57"/>
        <v>97820.146170956461</v>
      </c>
      <c r="J177" s="21">
        <f t="shared" si="57"/>
        <v>97574.080104200591</v>
      </c>
      <c r="K177" s="21">
        <f t="shared" si="57"/>
        <v>97493.573264781488</v>
      </c>
      <c r="L177" s="21">
        <f t="shared" si="57"/>
        <v>97417.394606912261</v>
      </c>
      <c r="M177" s="21">
        <f t="shared" si="57"/>
        <v>97457.020057306596</v>
      </c>
      <c r="N177" s="21">
        <f t="shared" si="57"/>
        <v>97328.244274809156</v>
      </c>
    </row>
    <row r="178" spans="1:14" x14ac:dyDescent="0.2">
      <c r="A178" s="20" t="s">
        <v>81</v>
      </c>
      <c r="B178" s="21">
        <f t="shared" si="57"/>
        <v>260821.07261509256</v>
      </c>
      <c r="C178" s="21">
        <f t="shared" si="57"/>
        <v>264069.71860562789</v>
      </c>
      <c r="D178" s="21">
        <f t="shared" si="57"/>
        <v>265208.11099252937</v>
      </c>
      <c r="E178" s="21">
        <f t="shared" si="57"/>
        <v>264467.74193548388</v>
      </c>
      <c r="F178" s="21">
        <f t="shared" si="57"/>
        <v>261857.55680951654</v>
      </c>
      <c r="G178" s="21">
        <f t="shared" si="57"/>
        <v>257915.59342183475</v>
      </c>
      <c r="H178" s="21">
        <f t="shared" si="57"/>
        <v>255595.38032656311</v>
      </c>
      <c r="I178" s="21">
        <f t="shared" si="57"/>
        <v>252568.27183656453</v>
      </c>
      <c r="J178" s="21">
        <f t="shared" si="57"/>
        <v>251745.45454545456</v>
      </c>
      <c r="K178" s="21">
        <f t="shared" si="57"/>
        <v>246622.32384119727</v>
      </c>
      <c r="L178" s="21">
        <f t="shared" si="57"/>
        <v>249474.16552354823</v>
      </c>
      <c r="M178" s="21">
        <f t="shared" si="57"/>
        <v>249516.02495160251</v>
      </c>
      <c r="N178" s="21">
        <f t="shared" si="57"/>
        <v>249898.16700610999</v>
      </c>
    </row>
    <row r="179" spans="1:14" x14ac:dyDescent="0.2">
      <c r="A179" s="20" t="s">
        <v>82</v>
      </c>
      <c r="B179" s="21">
        <f t="shared" si="57"/>
        <v>827698.57433808548</v>
      </c>
      <c r="C179" s="21">
        <f t="shared" si="57"/>
        <v>821653.87894288148</v>
      </c>
      <c r="D179" s="21">
        <f t="shared" si="57"/>
        <v>819094.7666195191</v>
      </c>
      <c r="E179" s="21">
        <f t="shared" si="57"/>
        <v>817511.52073732717</v>
      </c>
      <c r="F179" s="21">
        <f t="shared" si="57"/>
        <v>824893.00998573471</v>
      </c>
      <c r="G179" s="21">
        <f t="shared" si="57"/>
        <v>825358.85167464113</v>
      </c>
      <c r="H179" s="21">
        <f t="shared" si="57"/>
        <v>817487.43718592962</v>
      </c>
      <c r="I179" s="21">
        <f t="shared" si="57"/>
        <v>814134.92927094665</v>
      </c>
      <c r="J179" s="21">
        <f t="shared" si="57"/>
        <v>804399.5749202976</v>
      </c>
      <c r="K179" s="21">
        <f t="shared" si="57"/>
        <v>807517.08428246016</v>
      </c>
      <c r="L179" s="21">
        <f t="shared" si="57"/>
        <v>802674.41860465112</v>
      </c>
      <c r="M179" s="21">
        <f t="shared" si="57"/>
        <v>798996.65551839466</v>
      </c>
      <c r="N179" s="21">
        <f t="shared" si="57"/>
        <v>801244.81327800825</v>
      </c>
    </row>
    <row r="180" spans="1:14" x14ac:dyDescent="0.2">
      <c r="A180" s="20" t="s">
        <v>83</v>
      </c>
      <c r="B180" s="21">
        <f t="shared" si="57"/>
        <v>1547226.1735419631</v>
      </c>
      <c r="C180" s="21">
        <f t="shared" si="57"/>
        <v>1547087.3786407767</v>
      </c>
      <c r="D180" s="21">
        <f t="shared" si="57"/>
        <v>1545754.2457542457</v>
      </c>
      <c r="E180" s="21">
        <f t="shared" si="57"/>
        <v>1541525.4237288137</v>
      </c>
      <c r="F180" s="21">
        <f t="shared" si="57"/>
        <v>1547326.5073947667</v>
      </c>
      <c r="G180" s="21">
        <f t="shared" si="57"/>
        <v>1547240.2597402597</v>
      </c>
      <c r="H180" s="21">
        <f t="shared" si="57"/>
        <v>1542429.2845257903</v>
      </c>
      <c r="I180" s="21">
        <f t="shared" si="57"/>
        <v>1533533.6976320583</v>
      </c>
      <c r="J180" s="21">
        <f t="shared" si="57"/>
        <v>1522504.5045045046</v>
      </c>
      <c r="K180" s="21">
        <f t="shared" si="57"/>
        <v>1523105.3604436228</v>
      </c>
      <c r="L180" s="21">
        <f t="shared" si="57"/>
        <v>1514395.3934740883</v>
      </c>
      <c r="M180" s="21">
        <f t="shared" si="57"/>
        <v>1512835.2490421457</v>
      </c>
      <c r="N180" s="21">
        <f t="shared" si="57"/>
        <v>1518384.8797250858</v>
      </c>
    </row>
    <row r="181" spans="1:14" x14ac:dyDescent="0.2">
      <c r="A181" s="20" t="s">
        <v>84</v>
      </c>
      <c r="B181" s="21">
        <f t="shared" si="57"/>
        <v>8543741.4030261356</v>
      </c>
      <c r="C181" s="21">
        <f t="shared" si="57"/>
        <v>9204169.0462592803</v>
      </c>
      <c r="D181" s="21">
        <f t="shared" si="57"/>
        <v>9106229.1963861156</v>
      </c>
      <c r="E181" s="21">
        <f t="shared" si="57"/>
        <v>9397945.5113890134</v>
      </c>
      <c r="F181" s="21">
        <f t="shared" si="57"/>
        <v>9648023.5988200586</v>
      </c>
      <c r="G181" s="21">
        <f t="shared" si="57"/>
        <v>9881735.159817351</v>
      </c>
      <c r="H181" s="21">
        <f t="shared" si="57"/>
        <v>9794717.6684881598</v>
      </c>
      <c r="I181" s="21">
        <f t="shared" si="57"/>
        <v>9513586.2785862777</v>
      </c>
      <c r="J181" s="21">
        <f t="shared" si="57"/>
        <v>9393410.5263157897</v>
      </c>
      <c r="K181" s="21">
        <f t="shared" si="57"/>
        <v>8990526.3157894742</v>
      </c>
      <c r="L181" s="21">
        <f t="shared" si="57"/>
        <v>8914489.3111638948</v>
      </c>
      <c r="M181" s="21">
        <f t="shared" si="57"/>
        <v>7986979.8657718124</v>
      </c>
      <c r="N181" s="21">
        <f t="shared" si="57"/>
        <v>8866356.1076604556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7"/>
  <sheetViews>
    <sheetView tabSelected="1" workbookViewId="0">
      <selection activeCell="C12" sqref="C12"/>
    </sheetView>
  </sheetViews>
  <sheetFormatPr baseColWidth="10" defaultColWidth="11" defaultRowHeight="16" x14ac:dyDescent="0.2"/>
  <cols>
    <col min="1" max="1" width="11.33203125" bestFit="1" customWidth="1"/>
    <col min="2" max="28" width="11" bestFit="1" customWidth="1"/>
    <col min="29" max="48" width="11.33203125" bestFit="1" customWidth="1"/>
  </cols>
  <sheetData>
    <row r="1" spans="1:48" x14ac:dyDescent="0.2">
      <c r="A1" s="3" t="s">
        <v>167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x14ac:dyDescent="0.2">
      <c r="A2" s="3" t="s">
        <v>166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x14ac:dyDescent="0.2">
      <c r="A3" s="32" t="s">
        <v>118</v>
      </c>
      <c r="B3" s="32" t="s">
        <v>119</v>
      </c>
      <c r="C3" s="32" t="s">
        <v>120</v>
      </c>
      <c r="D3" s="32" t="s">
        <v>121</v>
      </c>
      <c r="E3" s="32" t="s">
        <v>122</v>
      </c>
      <c r="F3" s="32" t="s">
        <v>123</v>
      </c>
      <c r="G3" s="32" t="s">
        <v>124</v>
      </c>
      <c r="H3" s="32" t="s">
        <v>125</v>
      </c>
      <c r="I3" s="32" t="s">
        <v>126</v>
      </c>
      <c r="J3" s="32" t="s">
        <v>127</v>
      </c>
      <c r="K3" s="32" t="s">
        <v>128</v>
      </c>
      <c r="L3" s="32" t="s">
        <v>129</v>
      </c>
      <c r="M3" s="32" t="s">
        <v>130</v>
      </c>
      <c r="N3" s="32" t="s">
        <v>131</v>
      </c>
      <c r="O3" s="32" t="s">
        <v>132</v>
      </c>
      <c r="P3" s="32" t="s">
        <v>133</v>
      </c>
      <c r="Q3" s="32" t="s">
        <v>134</v>
      </c>
      <c r="R3" s="32" t="s">
        <v>135</v>
      </c>
      <c r="S3" s="32" t="s">
        <v>136</v>
      </c>
      <c r="T3" s="32" t="s">
        <v>137</v>
      </c>
      <c r="U3" s="32" t="s">
        <v>138</v>
      </c>
      <c r="V3" s="32" t="s">
        <v>139</v>
      </c>
      <c r="W3" s="32" t="s">
        <v>140</v>
      </c>
      <c r="X3" s="32" t="s">
        <v>141</v>
      </c>
      <c r="Y3" s="32" t="s">
        <v>142</v>
      </c>
      <c r="Z3" s="32" t="s">
        <v>143</v>
      </c>
      <c r="AA3" s="32" t="s">
        <v>144</v>
      </c>
      <c r="AB3" s="32" t="s">
        <v>145</v>
      </c>
      <c r="AC3" s="32" t="s">
        <v>146</v>
      </c>
      <c r="AD3" s="32" t="s">
        <v>147</v>
      </c>
      <c r="AE3" s="32" t="s">
        <v>148</v>
      </c>
      <c r="AF3" s="32" t="s">
        <v>149</v>
      </c>
      <c r="AG3" s="32" t="s">
        <v>150</v>
      </c>
      <c r="AH3" s="32" t="s">
        <v>151</v>
      </c>
      <c r="AI3" s="32" t="s">
        <v>152</v>
      </c>
      <c r="AJ3" s="32" t="s">
        <v>153</v>
      </c>
      <c r="AK3" s="32" t="s">
        <v>154</v>
      </c>
      <c r="AL3" s="32" t="s">
        <v>155</v>
      </c>
      <c r="AM3" s="32" t="s">
        <v>156</v>
      </c>
      <c r="AN3" s="32" t="s">
        <v>157</v>
      </c>
      <c r="AO3" s="32" t="s">
        <v>158</v>
      </c>
      <c r="AP3" s="32" t="s">
        <v>159</v>
      </c>
      <c r="AQ3" s="32" t="s">
        <v>160</v>
      </c>
      <c r="AR3" s="32" t="s">
        <v>161</v>
      </c>
      <c r="AS3" s="32" t="s">
        <v>162</v>
      </c>
      <c r="AT3" s="32" t="s">
        <v>163</v>
      </c>
      <c r="AU3" s="32" t="s">
        <v>164</v>
      </c>
      <c r="AV3" s="32" t="s">
        <v>165</v>
      </c>
    </row>
    <row r="4" spans="1:48" x14ac:dyDescent="0.2">
      <c r="A4" s="8">
        <v>52800000</v>
      </c>
      <c r="B4" s="8">
        <v>63400000</v>
      </c>
      <c r="C4" s="8">
        <v>64780000</v>
      </c>
      <c r="D4" s="8">
        <v>66680000.000000007</v>
      </c>
      <c r="E4" s="8">
        <v>68250000</v>
      </c>
      <c r="F4" s="8">
        <v>69860000</v>
      </c>
      <c r="G4" s="8">
        <v>71120000</v>
      </c>
      <c r="H4" s="8">
        <v>72870000</v>
      </c>
      <c r="I4" s="8">
        <v>74140000</v>
      </c>
      <c r="J4" s="8">
        <v>76030000</v>
      </c>
      <c r="K4" s="8">
        <v>77330000</v>
      </c>
      <c r="L4" s="8">
        <v>80780000</v>
      </c>
      <c r="M4" s="8">
        <v>82370000</v>
      </c>
      <c r="N4" s="8">
        <v>83530000</v>
      </c>
      <c r="O4" s="8">
        <v>83920000</v>
      </c>
      <c r="P4" s="8">
        <v>85410000</v>
      </c>
      <c r="Q4" s="8">
        <v>86790000</v>
      </c>
      <c r="R4" s="8">
        <v>88460000</v>
      </c>
      <c r="S4" s="8">
        <v>89480000</v>
      </c>
      <c r="T4" s="8">
        <v>91070000</v>
      </c>
      <c r="U4" s="8">
        <v>92830000</v>
      </c>
      <c r="V4" s="8">
        <v>93350000</v>
      </c>
      <c r="W4" s="8">
        <v>94310000</v>
      </c>
      <c r="X4" s="8">
        <v>95670000</v>
      </c>
      <c r="Y4" s="8">
        <v>96390000</v>
      </c>
      <c r="Z4" s="8">
        <v>97110000</v>
      </c>
      <c r="AA4" s="8">
        <v>98990000</v>
      </c>
      <c r="AB4" s="8">
        <v>99630000</v>
      </c>
      <c r="AC4" s="8">
        <v>101020000</v>
      </c>
      <c r="AD4" s="8">
        <v>102530000</v>
      </c>
      <c r="AE4" s="8">
        <v>103870000</v>
      </c>
      <c r="AF4" s="8">
        <v>104710000</v>
      </c>
      <c r="AG4" s="8">
        <v>108210000</v>
      </c>
      <c r="AH4" s="8">
        <v>109300000</v>
      </c>
      <c r="AI4" s="8">
        <v>111280000</v>
      </c>
      <c r="AJ4" s="8">
        <v>112000000</v>
      </c>
      <c r="AK4" s="8">
        <v>113340000</v>
      </c>
      <c r="AL4" s="8">
        <v>114380000</v>
      </c>
      <c r="AM4" s="8">
        <v>116010000</v>
      </c>
      <c r="AN4" s="8">
        <v>116780000</v>
      </c>
      <c r="AO4" s="8">
        <v>117180000</v>
      </c>
      <c r="AP4" s="8">
        <v>117540000</v>
      </c>
      <c r="AQ4" s="8">
        <v>118680000</v>
      </c>
      <c r="AR4" s="8">
        <v>121080000</v>
      </c>
      <c r="AS4" s="8">
        <v>122460000</v>
      </c>
      <c r="AT4" s="8">
        <v>123230000</v>
      </c>
      <c r="AU4" s="8">
        <v>124590000</v>
      </c>
      <c r="AV4" s="8">
        <v>125820000</v>
      </c>
    </row>
    <row r="6" spans="1:48" x14ac:dyDescent="0.2">
      <c r="A6" t="s">
        <v>168</v>
      </c>
    </row>
    <row r="7" spans="1:48" x14ac:dyDescent="0.2">
      <c r="A7" s="13">
        <f>AVERAGE(AD4:AR4)</f>
        <v>112459333.33333333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 of Funds, 1998-2012</vt:lpstr>
      <vt:lpstr>GHS Table 1</vt:lpstr>
      <vt:lpstr>MSRB volume and trade size</vt:lpstr>
      <vt:lpstr>US Households</vt:lpstr>
    </vt:vector>
  </TitlesOfParts>
  <Company>UCLA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Pierre-Olivier  Weill</dc:creator>
  <cp:lastModifiedBy>Microsoft Office User</cp:lastModifiedBy>
  <dcterms:created xsi:type="dcterms:W3CDTF">2017-06-22T17:33:36Z</dcterms:created>
  <dcterms:modified xsi:type="dcterms:W3CDTF">2019-07-02T13:18:50Z</dcterms:modified>
</cp:coreProperties>
</file>